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https://pwc-my.sharepoint.com/personal/reet_tiwary_pwc_com/Documents/Downloads/"/>
    </mc:Choice>
  </mc:AlternateContent>
  <xr:revisionPtr revIDLastSave="72" documentId="14_{82C2F4C7-29B4-46EB-A2A9-2005D9BD0D4F}" xr6:coauthVersionLast="47" xr6:coauthVersionMax="47" xr10:uidLastSave="{ADF1CFC4-D3FF-B541-B8AF-BEE5CCA6253D}"/>
  <bookViews>
    <workbookView xWindow="-38400" yWindow="540" windowWidth="38400" windowHeight="21600" tabRatio="500" activeTab="1" xr2:uid="{00000000-000D-0000-FFFF-FFFF00000000}"/>
  </bookViews>
  <sheets>
    <sheet name="Questions &amp; Outputs_Original" sheetId="12" state="hidden" r:id="rId1"/>
    <sheet name="Questions &amp; Outputs" sheetId="9" r:id="rId2"/>
    <sheet name="By Role &amp; Impact" sheetId="10" r:id="rId3"/>
    <sheet name="Agent Heat Map Reference" sheetId="11" state="hidden" r:id="rId4"/>
    <sheet name="Total Question Set (MISC)" sheetId="4" state="hidden" r:id="rId5"/>
  </sheets>
  <definedNames>
    <definedName name="_xlnm._FilterDatabase" localSheetId="4" hidden="1">'Total Question Set (MISC)'!$A$4:$J$44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32" i="12" l="1"/>
  <c r="I34" i="12" s="1"/>
  <c r="H33" i="11"/>
  <c r="J31" i="11"/>
  <c r="E30" i="11"/>
  <c r="J26" i="11"/>
  <c r="I26" i="11"/>
  <c r="H26" i="11"/>
  <c r="G26" i="11"/>
  <c r="F26" i="11"/>
  <c r="E26" i="11"/>
  <c r="D26" i="11"/>
  <c r="J25" i="11"/>
  <c r="I25" i="11"/>
  <c r="H25" i="11"/>
  <c r="G25" i="11"/>
  <c r="F25" i="11"/>
  <c r="E25" i="11"/>
  <c r="D25" i="11"/>
  <c r="J24" i="11"/>
  <c r="I24" i="11"/>
  <c r="H24" i="11"/>
  <c r="G24" i="11"/>
  <c r="F24" i="11"/>
  <c r="E24" i="11"/>
  <c r="D24" i="11"/>
  <c r="J23" i="11"/>
  <c r="J33" i="11" s="1"/>
  <c r="I23" i="11"/>
  <c r="I33" i="11" s="1"/>
  <c r="H23" i="11"/>
  <c r="G23" i="11"/>
  <c r="F23" i="11"/>
  <c r="E23" i="11"/>
  <c r="D23" i="11"/>
  <c r="J22" i="11"/>
  <c r="I22" i="11"/>
  <c r="H22" i="11"/>
  <c r="G22" i="11"/>
  <c r="F22" i="11"/>
  <c r="E22" i="11"/>
  <c r="D22" i="11"/>
  <c r="J21" i="11"/>
  <c r="I21" i="11"/>
  <c r="H21" i="11"/>
  <c r="G21" i="11"/>
  <c r="F21" i="11"/>
  <c r="E21" i="11"/>
  <c r="D21" i="11"/>
  <c r="J20" i="11"/>
  <c r="I20" i="11"/>
  <c r="H20" i="11"/>
  <c r="G20" i="11"/>
  <c r="G33" i="11" s="1"/>
  <c r="F20" i="11"/>
  <c r="F33" i="11" s="1"/>
  <c r="E20" i="11"/>
  <c r="E33" i="11" s="1"/>
  <c r="D20" i="11"/>
  <c r="D33" i="11" s="1"/>
  <c r="J19" i="11"/>
  <c r="I19" i="11"/>
  <c r="H19" i="11"/>
  <c r="G19" i="11"/>
  <c r="F19" i="11"/>
  <c r="E19" i="11"/>
  <c r="D19" i="11"/>
  <c r="J18" i="11"/>
  <c r="I18" i="11"/>
  <c r="H18" i="11"/>
  <c r="G18" i="11"/>
  <c r="F18" i="11"/>
  <c r="E18" i="11"/>
  <c r="D18" i="11"/>
  <c r="J17" i="11"/>
  <c r="I17" i="11"/>
  <c r="H17" i="11"/>
  <c r="H32" i="11" s="1"/>
  <c r="G17" i="11"/>
  <c r="F17" i="11"/>
  <c r="E17" i="11"/>
  <c r="D17" i="11"/>
  <c r="D32" i="11" s="1"/>
  <c r="J16" i="11"/>
  <c r="I16" i="11"/>
  <c r="H16" i="11"/>
  <c r="G16" i="11"/>
  <c r="F16" i="11"/>
  <c r="E16" i="11"/>
  <c r="D16" i="11"/>
  <c r="J15" i="11"/>
  <c r="J32" i="11" s="1"/>
  <c r="I15" i="11"/>
  <c r="I32" i="11" s="1"/>
  <c r="H15" i="11"/>
  <c r="G15" i="11"/>
  <c r="G32" i="11" s="1"/>
  <c r="F15" i="11"/>
  <c r="F32" i="11" s="1"/>
  <c r="E15" i="11"/>
  <c r="E32" i="11" s="1"/>
  <c r="D15" i="11"/>
  <c r="J14" i="11"/>
  <c r="I14" i="11"/>
  <c r="H14" i="11"/>
  <c r="G14" i="11"/>
  <c r="F14" i="11"/>
  <c r="E14" i="11"/>
  <c r="D14" i="11"/>
  <c r="J13" i="11"/>
  <c r="I13" i="11"/>
  <c r="H13" i="11"/>
  <c r="G13" i="11"/>
  <c r="F13" i="11"/>
  <c r="E13" i="11"/>
  <c r="D13" i="11"/>
  <c r="J12" i="11"/>
  <c r="I12" i="11"/>
  <c r="H12" i="11"/>
  <c r="G12" i="11"/>
  <c r="F12" i="11"/>
  <c r="E12" i="11"/>
  <c r="D12" i="11"/>
  <c r="D31" i="11" s="1"/>
  <c r="J11" i="11"/>
  <c r="J34" i="11" s="1"/>
  <c r="I11" i="11"/>
  <c r="I31" i="11" s="1"/>
  <c r="H11" i="11"/>
  <c r="H31" i="11" s="1"/>
  <c r="G11" i="11"/>
  <c r="G31" i="11" s="1"/>
  <c r="F11" i="11"/>
  <c r="F31" i="11" s="1"/>
  <c r="E11" i="11"/>
  <c r="E31" i="11" s="1"/>
  <c r="D11" i="11"/>
  <c r="D34" i="11" s="1"/>
  <c r="J10" i="11"/>
  <c r="I10" i="11"/>
  <c r="H10" i="11"/>
  <c r="G10" i="11"/>
  <c r="F10" i="11"/>
  <c r="E10" i="11"/>
  <c r="D10" i="11"/>
  <c r="J9" i="11"/>
  <c r="I9" i="11"/>
  <c r="H9" i="11"/>
  <c r="G9" i="11"/>
  <c r="F9" i="11"/>
  <c r="E9" i="11"/>
  <c r="D9" i="11"/>
  <c r="J8" i="11"/>
  <c r="I8" i="11"/>
  <c r="H8" i="11"/>
  <c r="G8" i="11"/>
  <c r="G35" i="11" s="1"/>
  <c r="F8" i="11"/>
  <c r="F35" i="11" s="1"/>
  <c r="E8" i="11"/>
  <c r="D8" i="11"/>
  <c r="J7" i="11"/>
  <c r="I7" i="11"/>
  <c r="H7" i="11"/>
  <c r="G7" i="11"/>
  <c r="F7" i="11"/>
  <c r="E7" i="11"/>
  <c r="D7" i="11"/>
  <c r="J6" i="11"/>
  <c r="J30" i="11" s="1"/>
  <c r="J36" i="11" s="1"/>
  <c r="I6" i="11"/>
  <c r="I30" i="11" s="1"/>
  <c r="H6" i="11"/>
  <c r="H30" i="11" s="1"/>
  <c r="G6" i="11"/>
  <c r="F6" i="11"/>
  <c r="E6" i="11"/>
  <c r="E35" i="11" s="1"/>
  <c r="D6" i="11"/>
  <c r="D30" i="11" s="1"/>
  <c r="I5" i="11"/>
  <c r="H5" i="11"/>
  <c r="G5" i="11"/>
  <c r="F5" i="11"/>
  <c r="E5" i="11"/>
  <c r="D5" i="11"/>
  <c r="J5" i="11" s="1"/>
  <c r="F20" i="9"/>
  <c r="F22" i="9" s="1"/>
  <c r="D36" i="11" l="1"/>
  <c r="G30" i="11"/>
  <c r="H35" i="11"/>
  <c r="F30" i="11"/>
  <c r="I35" i="11"/>
  <c r="E34" i="11"/>
  <c r="E36" i="11" s="1"/>
  <c r="J35" i="11"/>
  <c r="H34" i="11"/>
  <c r="H36" i="11" s="1"/>
  <c r="F34" i="11"/>
  <c r="G34" i="11"/>
  <c r="I34" i="11"/>
  <c r="I36" i="11" s="1"/>
  <c r="D35" i="11"/>
  <c r="F36" i="11" l="1"/>
  <c r="G36" i="11"/>
</calcChain>
</file>

<file path=xl/sharedStrings.xml><?xml version="1.0" encoding="utf-8"?>
<sst xmlns="http://schemas.openxmlformats.org/spreadsheetml/2006/main" count="994" uniqueCount="621">
  <si>
    <t>Form</t>
  </si>
  <si>
    <t>#</t>
  </si>
  <si>
    <t>Output</t>
  </si>
  <si>
    <t>Needed by</t>
  </si>
  <si>
    <t>Tool-adoption personas</t>
  </si>
  <si>
    <t>Champion and early-tester list</t>
  </si>
  <si>
    <t>Barriers and risk log</t>
  </si>
  <si>
    <t>Order</t>
  </si>
  <si>
    <t>ID</t>
  </si>
  <si>
    <t>Question</t>
  </si>
  <si>
    <t>Probe / follow-up</t>
  </si>
  <si>
    <t>Output it feeds</t>
  </si>
  <si>
    <t>A4</t>
  </si>
  <si>
    <t>A1</t>
  </si>
  <si>
    <t>B1</t>
  </si>
  <si>
    <t>B2</t>
  </si>
  <si>
    <t>B3</t>
  </si>
  <si>
    <t>B4</t>
  </si>
  <si>
    <t>C2</t>
  </si>
  <si>
    <t>D1</t>
  </si>
  <si>
    <t>D2</t>
  </si>
  <si>
    <t>E1</t>
  </si>
  <si>
    <t>C4</t>
  </si>
  <si>
    <t>E3</t>
  </si>
  <si>
    <t>F1</t>
  </si>
  <si>
    <t>F2</t>
  </si>
  <si>
    <t>F4</t>
  </si>
  <si>
    <t>G1</t>
  </si>
  <si>
    <t>H2</t>
  </si>
  <si>
    <t>-</t>
  </si>
  <si>
    <t>ERP Stakeholder Interview Questions: Foundation and Wave 1</t>
  </si>
  <si>
    <t>Audience codes follow the tracker: D = Director, SM = Senior Manager, M = Manager, SA = Senior Associate, A = Associate.</t>
  </si>
  <si>
    <t>Section</t>
  </si>
  <si>
    <t>Schedule activity it supports</t>
  </si>
  <si>
    <t>Origin</t>
  </si>
  <si>
    <t>Plan lens (Awareness / Desire / Knowledge)</t>
  </si>
  <si>
    <t>Change plan on a page item (deck slide 6)</t>
  </si>
  <si>
    <t>Previous tier</t>
  </si>
  <si>
    <t>P1</t>
  </si>
  <si>
    <t>0 Profile (pre-read form)</t>
  </si>
  <si>
    <t>Your level and typical role on engagements (e.g., functional lead, technical, PM, data migration, testing).</t>
  </si>
  <si>
    <t>Send ahead of the interview; takes ~2 min.</t>
  </si>
  <si>
    <t>Learning journey with L&amp;D POC (Wk 5, 10/22); Stakeholder groups, needs &amp; messages (Wk 4, 10/16)</t>
  </si>
  <si>
    <t>New</t>
  </si>
  <si>
    <t>Training: align with L&amp;D on roles</t>
  </si>
  <si>
    <t>P2</t>
  </si>
  <si>
    <t>Which AI tools do you use in delivery work today, and how often (daily / weekly / occasionally / never)?</t>
  </si>
  <si>
    <t>List tools by name (e.g., Claude, Copilot, ChatGPT, internal agents).</t>
  </si>
  <si>
    <t>Learning journey with L&amp;D POC (Wk 5, 10/22)</t>
  </si>
  <si>
    <t>New (AI Use Log shows 36 mostly informal use cases)</t>
  </si>
  <si>
    <t>P3</t>
  </si>
  <si>
    <t>How comfortable are you using AI tools for delivery work? (1 = not at all, 5 = very)</t>
  </si>
  <si>
    <t>Self-rating only.</t>
  </si>
  <si>
    <t>P4</t>
  </si>
  <si>
    <t>What project are you on, which phase is it in, and is it a new or in-flight engagement?</t>
  </si>
  <si>
    <t>In-flight projects need a one-time Wave 1 set-up.</t>
  </si>
  <si>
    <t>Impact by group; in-flight vs new messaging</t>
  </si>
  <si>
    <t>Impact assessment (Wk 4, 10/16)</t>
  </si>
  <si>
    <t>Impact assessment</t>
  </si>
  <si>
    <t>P5</t>
  </si>
  <si>
    <t>How do you prefer to learn a new tool (live session, short video, coaching on the project, peer demo, self-serve), and roughly how many hours a month can you realistically spend?</t>
  </si>
  <si>
    <t>Pick up to two formats.</t>
  </si>
  <si>
    <t>Learning formats and time available</t>
  </si>
  <si>
    <t>Training plan; eLearn and half-day events (TBC)</t>
  </si>
  <si>
    <t>A Today</t>
  </si>
  <si>
    <t>Think of a typical week on your current engagement. Where does time go on work that isn't advising the client or making decisions, such as writing up meetings, tracking down documents, or chasing status?</t>
  </si>
  <si>
    <t>Roughly how many hours a week? Who on the team carries most of it?</t>
  </si>
  <si>
    <t>Baseline for adoption measurement; impact by group</t>
  </si>
  <si>
    <t>Impact assessment (Wk 4, 10/16); Adoption measurement approach (Wk 6, 10/30)</t>
  </si>
  <si>
    <t>Adapted from CRM Q3</t>
  </si>
  <si>
    <t>Desire</t>
  </si>
  <si>
    <t>Impact assessment; 30/60/90-day adoption reports</t>
  </si>
  <si>
    <t>Core</t>
  </si>
  <si>
    <t>A2</t>
  </si>
  <si>
    <t>Tell me about the most recent time AI helped, or didn't help, with your delivery work. What happened?</t>
  </si>
  <si>
    <t>Which tool? What did you do with the output? Would you use it that way again?</t>
  </si>
  <si>
    <t>Tool-adoption personas; current-state experience</t>
  </si>
  <si>
    <t>Add-on</t>
  </si>
  <si>
    <t>A3</t>
  </si>
  <si>
    <t>Do you or your team already use a personal tool or agent that does part of what meeting recaps, document checks or the knowledge hub will do? What should happen to it once the shared version arrives?</t>
  </si>
  <si>
    <t>Who built it? Who else uses it?</t>
  </si>
  <si>
    <t>Impact by group (overlap with informal tools); messaging on what to keep or retire</t>
  </si>
  <si>
    <t>Impact assessment (Wk 4, 10/16); Stakeholder groups, needs &amp; messages (Wk 4, 10/16)</t>
  </si>
  <si>
    <t>New (from AI Use Log)</t>
  </si>
  <si>
    <t>What have you already heard about ADLC or the agents, and from whom?</t>
  </si>
  <si>
    <t>Was it accurate? Was it from a source you trust?</t>
  </si>
  <si>
    <t>Awareness baseline; credible sources and channels</t>
  </si>
  <si>
    <t>Draft change &amp; adoption plan (Wk 6, 10/30)</t>
  </si>
  <si>
    <t>New (change plan deck: Awareness lens)</t>
  </si>
  <si>
    <t>Awareness</t>
  </si>
  <si>
    <t>Comms plan drafted; launch message</t>
  </si>
  <si>
    <t>B Vision &amp; Wave 1</t>
  </si>
  <si>
    <t>[Show the 'what to expect' page] In your own words, what do you expect to get by the end of December, and what do you not expect yet?</t>
  </si>
  <si>
    <t>What is unclear or sounds like jargon? What would you tell a colleague?</t>
  </si>
  <si>
    <t>Message comprehension; validated change vision; FAQs</t>
  </si>
  <si>
    <t>Change vision (Wk 3, 10/9); Stakeholder groups, needs &amp; messages (Wk 4, 10/16)</t>
  </si>
  <si>
    <t>Replaces CRM Q4; uses change plan deck slide 5</t>
  </si>
  <si>
    <t>Knowledge</t>
  </si>
  <si>
    <t>Vision &amp; messaging; updated FAQs</t>
  </si>
  <si>
    <t>What is your first reaction: what are you most excited about, and what concerns you most?</t>
  </si>
  <si>
    <t>Is the concern about the tool, about your work, or about how you'll be judged?</t>
  </si>
  <si>
    <t>Needs and concerns by group</t>
  </si>
  <si>
    <t>Stakeholder groups, needs &amp; messages (Wk 4, 10/16)</t>
  </si>
  <si>
    <t>Adapted from CRM Q4</t>
  </si>
  <si>
    <t>Vision &amp; messaging; stakeholder analysis</t>
  </si>
  <si>
    <t>Wave 1 has five capabilities: project set-up, meeting recaps, continuous checks, the attention dashboard and the knowledge hub. Which would change your week the most, and which would you probably not use?</t>
  </si>
  <si>
    <t>Why? What would make you use the ones you'd skip?</t>
  </si>
  <si>
    <t>Degree of impact by group and by capability</t>
  </si>
  <si>
    <t>Later waves (requirements, design drafting and more) have timing still to be confirmed. What do you want us to tell you about what's coming, and what is better left unsaid until it's confirmed?</t>
  </si>
  <si>
    <t>Which worries you more: hearing too little, or hearing plans that then change?</t>
  </si>
  <si>
    <t>"What is / is not coming" message framework; communication principles</t>
  </si>
  <si>
    <t>Draft change &amp; adoption plan (Wk 6, 10/30); Collateral (Wk 8, 11/13)</t>
  </si>
  <si>
    <t>Comms plan; vision and roadmap message; updated FAQs</t>
  </si>
  <si>
    <t>B5</t>
  </si>
  <si>
    <t>[Show 'matters more / matters less' list] Does this match how you see your role changing? What would you add or remove?</t>
  </si>
  <si>
    <t>Which item on the list surprises you?</t>
  </si>
  <si>
    <t>Validated role-shift messages; learning priorities</t>
  </si>
  <si>
    <t>Collateral (Wk 8, 11/13); Learning journey with L&amp;D POC (Wk 5, 10/22)</t>
  </si>
  <si>
    <t>Adapted from CRM Q5</t>
  </si>
  <si>
    <t>Vision &amp; messaging</t>
  </si>
  <si>
    <t>Optional</t>
  </si>
  <si>
    <t>C1</t>
  </si>
  <si>
    <t>C Working differently</t>
  </si>
  <si>
    <t>Meeting recaps: what would a recap need to get right for you to stop writing your own notes?</t>
  </si>
  <si>
    <t>Who should see it before it is shared? How should a flagged 'possible new requirement' reach you?</t>
  </si>
  <si>
    <t>Trust criteria; training scenarios; impact by group</t>
  </si>
  <si>
    <t>Impact assessment (Wk 4, 10/16); Learning journey with L&amp;D POC (Wk 5, 10/22)</t>
  </si>
  <si>
    <t>Adapted from CRM Q7</t>
  </si>
  <si>
    <t>Training development</t>
  </si>
  <si>
    <t>When an agent flags a conflict, an out-of-date document or a repeated client concern, who should get it, how do you want to hear (Teams, email, ADO, dashboard), and what would make you start ignoring flags?</t>
  </si>
  <si>
    <t>Which channels do you already check daily?</t>
  </si>
  <si>
    <t>Channel and alert preferences for communications and tool design</t>
  </si>
  <si>
    <t>Comms plan drafted; weekly Teams posts</t>
  </si>
  <si>
    <t>C3</t>
  </si>
  <si>
    <t>Every agent output is confirmed by a named person, and the reason for rejecting a suggestion is recorded. What would make that a worthwhile habit rather than extra admin?</t>
  </si>
  <si>
    <t>When would you skip it if no one was checking?</t>
  </si>
  <si>
    <t>New behaviours to train and reinforce; adoption measures</t>
  </si>
  <si>
    <t>Learning journey with L&amp;D POC (Wk 5, 10/22); Adoption measurement approach (Wk 6, 10/30)</t>
  </si>
  <si>
    <t>Adapted from CRM Q10</t>
  </si>
  <si>
    <t>Training development; adoption reports</t>
  </si>
  <si>
    <t>If your project is already underway, Wave 1 needs a one-time set-up. Who would own it, and what would make you hesitate to introduce it mid-project?</t>
  </si>
  <si>
    <t>What would the set-up have to cost (hours, risk) to be an easy yes?</t>
  </si>
  <si>
    <t>Barriers for in-flight projects; PM/leader engagement actions</t>
  </si>
  <si>
    <t>Impact assessment (Wk 4, 10/16); Draft change &amp; adoption plan (Wk 6, 10/30)</t>
  </si>
  <si>
    <t>Engagement support planning; PDM coaching (TBC)</t>
  </si>
  <si>
    <t>C5</t>
  </si>
  <si>
    <t>If the agents gave you back a few hours a week, what would you want to do with that time, and would you be able to?</t>
  </si>
  <si>
    <t>What would stop you from using that time that way?</t>
  </si>
  <si>
    <t>Value messages; reinvestment conversation with leaders</t>
  </si>
  <si>
    <t>Collateral (Wk 8, 11/13)</t>
  </si>
  <si>
    <t>Adapted from CRM Q9</t>
  </si>
  <si>
    <t>Launch message; Spotlight #1: expectations</t>
  </si>
  <si>
    <t>C6</t>
  </si>
  <si>
    <t>When meeting recaps and the knowledge hub take over some note-taking and digging, what do you gain and what might you lose, particularly early in a career?</t>
  </si>
  <si>
    <t>How else would juniors build the same understanding?</t>
  </si>
  <si>
    <t>Learning journey design for junior staff; manager coaching guidance</t>
  </si>
  <si>
    <t>New (from L&amp;D discussion points)</t>
  </si>
  <si>
    <t>Training plan</t>
  </si>
  <si>
    <t>D Trust, barriers &amp; incentives</t>
  </si>
  <si>
    <t>Even if the agents work well, what would stop you using them as part of your normal delivery?</t>
  </si>
  <si>
    <t>Time, trust, permissions, client concerns, habit, something else?</t>
  </si>
  <si>
    <t>Draft change &amp; adoption plan (Wk 6, 10/30); review with PM/OL (Wk 8, 11/13)</t>
  </si>
  <si>
    <t>Kept from CRM Q11, reworded for Wave 1</t>
  </si>
  <si>
    <t>Adoption plan drafted; OL &amp; OAC aligned</t>
  </si>
  <si>
    <t>What would you need to see to trust the output, and what could we show you in the next few months, before and during December testing (a live demo, a colleague using it, accuracy results)?</t>
  </si>
  <si>
    <t>Whose use of it would carry the most weight?</t>
  </si>
  <si>
    <t>Trust-building and engagement activities</t>
  </si>
  <si>
    <t>Adapted from CRM Q14 (no ERP client pilots yet)</t>
  </si>
  <si>
    <t>Initial comms; demo / podcast (TBC); early adopters</t>
  </si>
  <si>
    <t>D3</t>
  </si>
  <si>
    <t>What does the practice currently reward or recognise, such as utilisation, billable hours or deliverable volume, that might work against using agents?</t>
  </si>
  <si>
    <t>What would need to be recognised instead or as well?</t>
  </si>
  <si>
    <t>Leadership alignment actions; barrier log</t>
  </si>
  <si>
    <t>Kept from CRM Q12</t>
  </si>
  <si>
    <t>Executive awareness meetings; OL &amp; OAC aligned</t>
  </si>
  <si>
    <t>D4</t>
  </si>
  <si>
    <t>The agents are internal to PwC and client data stays with the client. How do you expect your clients to react, and what do you need from us to talk about it, or not?</t>
  </si>
  <si>
    <t>Has a client already asked about AI use on your engagement?</t>
  </si>
  <si>
    <t>Client-facing talking points and FAQ</t>
  </si>
  <si>
    <t>New (from ground rules)</t>
  </si>
  <si>
    <t>Updated FAQs; launch message</t>
  </si>
  <si>
    <t>D5</t>
  </si>
  <si>
    <t>Is there anything about how the agents handle information (never inventing, never overwriting your work, client data staying put) that you would still want reassurance on?</t>
  </si>
  <si>
    <t>What would count as proof?</t>
  </si>
  <si>
    <t>FAQ and reassurance messages (Foundation)</t>
  </si>
  <si>
    <t>New (from Foundation skills)</t>
  </si>
  <si>
    <t>Updated FAQs</t>
  </si>
  <si>
    <t>D6</t>
  </si>
  <si>
    <t>We plan to hold awareness sessions for leaders before launch. What would you need from one to feel ready to support your team, and who else should be in the room?</t>
  </si>
  <si>
    <t>What would make it a poor use of your time?</t>
  </si>
  <si>
    <t>Leadership engagement plan</t>
  </si>
  <si>
    <t>New (change plan deck: executive awareness meetings)</t>
  </si>
  <si>
    <t>Executive awareness meetings</t>
  </si>
  <si>
    <t>E Learning</t>
  </si>
  <si>
    <t>What would you need to learn to be effective with Wave 1: using the tools, reviewing agent output critically, something else?</t>
  </si>
  <si>
    <t>Which would you want first?</t>
  </si>
  <si>
    <t>Learning needs by persona</t>
  </si>
  <si>
    <t>Kept from CRM Q13</t>
  </si>
  <si>
    <t>E2</t>
  </si>
  <si>
    <t>Reviewing AI output critically will matter more. How confident are you in that today, and how would you like to practise it or show your proficiency?</t>
  </si>
  <si>
    <t>What would a fair test look like?</t>
  </si>
  <si>
    <t>Input to proficiency approach</t>
  </si>
  <si>
    <t>Practice &amp; assessment (TBC)</t>
  </si>
  <si>
    <t>The plan includes a short eLearn, half-day training events, office hours, a community of practice and PDM coaching. Which would you actually use, and which would you skip?</t>
  </si>
  <si>
    <t>What would make you attend rather than postpone?</t>
  </si>
  <si>
    <t>Learning formats and engagement mix</t>
  </si>
  <si>
    <t>New (change plan deck: training and engagement items to be confirmed)</t>
  </si>
  <si>
    <t>eLearn launched; half-day events (TBC); CoP and office hours; PDM coaching (TBC)</t>
  </si>
  <si>
    <t>F Communication &amp; listening</t>
  </si>
  <si>
    <t>How do you usually hear about practice-wide changes (channel, sender), and which of those do you actually read or act on?</t>
  </si>
  <si>
    <t>How often would you want updates between now and rollout? Which message did you most recently act on, and why?</t>
  </si>
  <si>
    <t>Channel map for the communications plan</t>
  </si>
  <si>
    <t>Comms plan drafted</t>
  </si>
  <si>
    <t>Whose view would most influence whether you try a new way of working?</t>
  </si>
  <si>
    <t>Role or named people. Would they be supportive? Who else should we talk to?</t>
  </si>
  <si>
    <t>Influencer and champion candidates</t>
  </si>
  <si>
    <t>Stakeholder groups, needs &amp; messages (Wk 4, 10/16); Draft change &amp; adoption plan (Wk 6, 10/30)</t>
  </si>
  <si>
    <t>Kept from CRM Q15</t>
  </si>
  <si>
    <t>Early adopters; RTR awards (TBC)</t>
  </si>
  <si>
    <t>F3</t>
  </si>
  <si>
    <t>Between now and rollout, and in the first 30 days after, which of these would be useful: a leadership awareness meeting, a launch message, a demo or podcast, weekly Teams posts, FAQs, spotlight stories? How often?</t>
  </si>
  <si>
    <t>What was the last update that was worth your time?</t>
  </si>
  <si>
    <t>Communication cadence and formats</t>
  </si>
  <si>
    <t>New (change plan deck: communications items)</t>
  </si>
  <si>
    <t>Launch message; demo / podcast (TBC); weekly Teams posts; FAQs; spotlights</t>
  </si>
  <si>
    <t>Would you want to help test or champion the Wave 1 agents, or help coach your peers? What would you need in order to say yes?</t>
  </si>
  <si>
    <t>How much time could you give? Would recognition for early adopters matter, and in what form?</t>
  </si>
  <si>
    <t>New (change plan deck: early adopters, train-the-trainer)</t>
  </si>
  <si>
    <t>Early adopters; train-the-trainer pilot (TBC); RTR awards (TBC)</t>
  </si>
  <si>
    <t>F5</t>
  </si>
  <si>
    <t>Once Wave 1 is live, how would you prefer to give feedback (a short pulse survey, a focus group, office hours, a Teams channel), and what would show you it was acted on?</t>
  </si>
  <si>
    <t>How often is too often for a survey?</t>
  </si>
  <si>
    <t>Listening activities</t>
  </si>
  <si>
    <t>Adoption measurement approach (Wk 6, 10/30)</t>
  </si>
  <si>
    <t>New (change plan deck: Listen &amp; evolve)</t>
  </si>
  <si>
    <t>Plan pulse survey; practice and practitioner pulse surveys; focus groups</t>
  </si>
  <si>
    <t>G Measuring success</t>
  </si>
  <si>
    <t>A few months after rollout, how would you know it is working, for you and for your team? What would you notice?</t>
  </si>
  <si>
    <t>Usage, time saved, quality, fewer late surprises, satisfaction?</t>
  </si>
  <si>
    <t>Success indicators; practitioner survey items</t>
  </si>
  <si>
    <t>30/60/90-day adoption reports</t>
  </si>
  <si>
    <t>G2</t>
  </si>
  <si>
    <t>What would you need to see to keep prioritising this on your engagements?</t>
  </si>
  <si>
    <t>What result would make you stop?</t>
  </si>
  <si>
    <t>Leadership scorecard measures</t>
  </si>
  <si>
    <t>Adoption measurement approach (Wk 6, 10/30); ATE alignment (Wk 12, 12/18)</t>
  </si>
  <si>
    <t>H1</t>
  </si>
  <si>
    <t>H Close</t>
  </si>
  <si>
    <t>Imagine it is mid-2027 and Wave 1 has landed well. What is different about your day?</t>
  </si>
  <si>
    <t>Vision language; success indicators</t>
  </si>
  <si>
    <t>Change vision (Wk 3, 10/9)</t>
  </si>
  <si>
    <t>Adapted from CRM Q16 (shorter horizon)</t>
  </si>
  <si>
    <t>Close</t>
  </si>
  <si>
    <t>What is the one thing we should do, or avoid, to make this work?</t>
  </si>
  <si>
    <t>Top recommendations; risk log</t>
  </si>
  <si>
    <t>Adoption plan drafted</t>
  </si>
  <si>
    <t>H3</t>
  </si>
  <si>
    <t>Who else should we talk to?</t>
  </si>
  <si>
    <t>Coverage gaps in stakeholder list</t>
  </si>
  <si>
    <t>Stakeholder analysis</t>
  </si>
  <si>
    <t>H4</t>
  </si>
  <si>
    <t>'ADLC' is a working name and may change. What does it make you think of, and what would a name need to signal?</t>
  </si>
  <si>
    <t>Ask only if the naming decision is still open. Don't test a specific candidate name unless leadership agrees.</t>
  </si>
  <si>
    <t>Input to product-name decision</t>
  </si>
  <si>
    <t>Open question: product name</t>
  </si>
  <si>
    <t>Fed by questions</t>
  </si>
  <si>
    <t>Stakeholder groups and key needs/messages template</t>
  </si>
  <si>
    <t>ERP Stakeholder Interview: Questions, What They Map To, and What They Produce</t>
  </si>
  <si>
    <t>16 questions, same for everyone, about 45 minutes. Orange rows = what leadership emphasized most. Share only the Question column with interviewees; the rest is internal.</t>
  </si>
  <si>
    <t>A. What leadership emphasized, and how the questions respond</t>
  </si>
  <si>
    <t>What leadership asked for</t>
  </si>
  <si>
    <t>Question IDs</t>
  </si>
  <si>
    <t>How the questions respond</t>
  </si>
  <si>
    <t>Every question has a defined consumer and output. Results are tagged by level and persona, traceable to the question and interview, and summarized on a leadership-ready page.</t>
  </si>
  <si>
    <t>All 16</t>
  </si>
  <si>
    <t>Output and Future deliverable columns on every question; section C lists the outputs.</t>
  </si>
  <si>
    <t>Record each participant's current project role or persona. One question set for everyone; analyze by role afterward.</t>
  </si>
  <si>
    <t>R1 (+ profile form)</t>
  </si>
  <si>
    <t>R1 captures the role (confirming the profile form); the By Role tab shows what each question tells us per role.</t>
  </si>
  <si>
    <t>Cover the broader roadmap, emphasizing Foundation and Wave 1. Show later waves to learn which future capabilities matter most.</t>
  </si>
  <si>
    <t>B1, R2, B4 (+ all)</t>
  </si>
  <si>
    <t>Every question touches later agents (column E); B1, R2 and B4 ask about the full roadmap directly.</t>
  </si>
  <si>
    <t>Persona heat map: see where each persona finds value. If a persona values a later wave over Wave 1, say so.</t>
  </si>
  <si>
    <t>R2</t>
  </si>
  <si>
    <t>R2 ratings feed the Agent Heat Map tab, which suggests the message for each persona.</t>
  </si>
  <si>
    <t>Learning pathways based on the work a person does, and what's in it for me.</t>
  </si>
  <si>
    <t>E1, E3, R3</t>
  </si>
  <si>
    <t>E1 asks what to learn based on the work they do; R3 asks what's in it for them; E3 asks about formats and timing.</t>
  </si>
  <si>
    <t>Change communications and L&amp;D are one effort: findings shape what people hear and how they are equipped.</t>
  </si>
  <si>
    <t>B4, C2, F1 | E1, E3</t>
  </si>
  <si>
    <t>Outputs split into communications inputs and learning inputs.</t>
  </si>
  <si>
    <t>Plain language: describe what agents do, with no unexplained jargon.</t>
  </si>
  <si>
    <t>Questions use the agent names and descriptions from the stakeholder deck glossary and no internal terms.</t>
  </si>
  <si>
    <t>Sample covers ERP roles and personas, including an additional senior manager or PM. Ask Winston whether directors need a heads-up first.</t>
  </si>
  <si>
    <t>R1</t>
  </si>
  <si>
    <t>Not a question: a scheduling check. Persona tags show gaps in coverage.</t>
  </si>
  <si>
    <t>B. The 16 questions: what each touches and what it produces</t>
  </si>
  <si>
    <t>Wave 1 agents it touches</t>
  </si>
  <si>
    <t>Later-wave agents it touches</t>
  </si>
  <si>
    <t>Output it produces</t>
  </si>
  <si>
    <t>Future deliverable it feeds</t>
  </si>
  <si>
    <t>Leadership emphasis</t>
  </si>
  <si>
    <t>Min</t>
  </si>
  <si>
    <t>Interviewer notes (probes, what to show)</t>
  </si>
  <si>
    <t>Tell me about your current role on your project. What are the main things you produce, decide or review in a typical week?</t>
  </si>
  <si>
    <t>All (anchors the ratings in R2)</t>
  </si>
  <si>
    <t>Persona tag (SCM, finance, technical, PM, engagement leader, other) on every finding</t>
  </si>
  <si>
    <t>Every deliverable (all findings split by persona); learning pathways by work performed</t>
  </si>
  <si>
    <t>Role / persona context</t>
  </si>
  <si>
    <t>Confirm the role from the profile form. Which of those tasks involve writing up meetings, designs, plans, status or test material?</t>
  </si>
  <si>
    <t>Think of a typical week. Where does time go on work that isn't advising the client or making decisions, such as writing up meetings, drafting requirements or designs, building plans and reports, or chasing status?</t>
  </si>
  <si>
    <t>Meeting recaps; Knowledge hub</t>
  </si>
  <si>
    <t>Requirements capture; Functional and technical design drafts; Status reports; Delivery plans</t>
  </si>
  <si>
    <t>Baseline hours for adoption measurement; impact by group</t>
  </si>
  <si>
    <t>Impact assessment; adoption measurement approach and 30/60/90-day reports</t>
  </si>
  <si>
    <t>Full roadmap; defined output</t>
  </si>
  <si>
    <t>Roughly how many hours a week on each? Which would you most like back?</t>
  </si>
  <si>
    <t>In your own words, what do you expect to get by the end of December, and what do you expect to come later?</t>
  </si>
  <si>
    <t>All five</t>
  </si>
  <si>
    <t>All later waves (high level)</t>
  </si>
  <si>
    <t>Message comprehension; awareness baseline; validated change vision; FAQs</t>
  </si>
  <si>
    <t>Change vision; communications plan and collateral; FAQs</t>
  </si>
  <si>
    <t>Full roadmap, Wave 1 emphasis; plain language</t>
  </si>
  <si>
    <t>Show: What to expect (slide 3) and the roadmap (slide 5). What had you heard before today, and from whom? What is unclear or sounds like jargon?</t>
  </si>
  <si>
    <t>For each agent on the roadmap, from the five arriving by end of December to the ones planned for later, how useful would it be in your role: very useful, somewhat useful, or not relevant? Which two would you want first?</t>
  </si>
  <si>
    <t>All 16 later-wave agents (Waves 2 to 4)</t>
  </si>
  <si>
    <t>Persona heat map: how useful each persona finds each agent, now and later</t>
  </si>
  <si>
    <t>Persona-specific messages; learning pathways; plans for later releases</t>
  </si>
  <si>
    <t>Persona heat map; full roadmap</t>
  </si>
  <si>
    <t>Show: agent glossary (slide 6). Record ratings in the Agent Heat Map tab. Is anything missing? If an agent matters mainly in a later wave, what makes it matter?</t>
  </si>
  <si>
    <t>Later agents have timing still to be confirmed. Which would you like us to talk about now, and which should wait until dates are firm?</t>
  </si>
  <si>
    <t>R3</t>
  </si>
  <si>
    <t>If this works as planned, what gets better for you in your day-to-day, first with the agents arriving by end of December and then as later agents arrive? What would make it worth the effort of changing how you work?</t>
  </si>
  <si>
    <t>Meeting recaps; Knowledge hub; Attention dashboard</t>
  </si>
  <si>
    <t>Requirements capture; Status reports; Delivery plans</t>
  </si>
  <si>
    <t>What's-in-it-for-me messages by persona; learning motivation</t>
  </si>
  <si>
    <t>Vision and messaging; launch message; persona-specific communications</t>
  </si>
  <si>
    <t>What's in it for me</t>
  </si>
  <si>
    <t>What would you tell a colleague in your role is in it for them?</t>
  </si>
  <si>
    <t>When an agent flags something for you, such as two documents that disagree, an out-of-date document, a risk in a design draft or a concern that keeps coming up, who should be told, how would you like to hear (Teams, email, ADO, a personal to-do list), and what would make you start ignoring these alerts?</t>
  </si>
  <si>
    <t>Continuous checks; Attention dashboard</t>
  </si>
  <si>
    <t>Functional design drafts (risk flags for the architect)</t>
  </si>
  <si>
    <t>Channel and alert preferences</t>
  </si>
  <si>
    <t>Communications plan; input to agent design</t>
  </si>
  <si>
    <t>Communications channels</t>
  </si>
  <si>
    <t>Even if the agents work well, what would stop you using them in your normal delivery, now and as more agents arrive?</t>
  </si>
  <si>
    <t>Agents that draft work: requirements, designs, test cases, plans, status reports</t>
  </si>
  <si>
    <t>Barriers and risk log by persona</t>
  </si>
  <si>
    <t>Risks and mitigations in the change and adoption plan; PM/OL review</t>
  </si>
  <si>
    <t>Adoption barriers; risk mitigation</t>
  </si>
  <si>
    <t>Does your answer change for agents that draft documents compared with agents that only watch and flag? Time, trust, permissions, client concerns, habit?</t>
  </si>
  <si>
    <t>What would you need to see to trust an agent's output, and what could we show you before December? Would you need more proof for agents that draft requirements, designs or test cases?</t>
  </si>
  <si>
    <t>Meeting recaps; Continuous checks; Knowledge hub</t>
  </si>
  <si>
    <t>Requirements capture; Fit-gap sorting; Design drafts; Test cases</t>
  </si>
  <si>
    <t>Engagement and communications plan (demos, early adopters)</t>
  </si>
  <si>
    <t>A live demo, a colleague using it, accuracy results? Whose use of it would carry the most weight?</t>
  </si>
  <si>
    <t>Based on the work you do on a project, what would you need to learn or practise to use these agents well, both the first five and the ones that draft requirements, designs, plans or reports later?</t>
  </si>
  <si>
    <t>Requirements capture; Design drafts; Delivery plans; Status reports; Training content</t>
  </si>
  <si>
    <t>Learning needs by the work people do</t>
  </si>
  <si>
    <t>Learning pathways and learning journey with L&amp;D</t>
  </si>
  <si>
    <t>Learning by work performed</t>
  </si>
  <si>
    <t>Which tasks would you want help with first? What would you want explained in the terms of your own work (finance, supply chain, technical, delivery management)? How would you check an agent's draft?</t>
  </si>
  <si>
    <t>The plan includes a short online course, half-day sessions, office hours, a peer community and coaching. Which would you use, and for later agents would you want training as each one arrives or ahead of time?</t>
  </si>
  <si>
    <t>Each later agent as it arrives; Training content</t>
  </si>
  <si>
    <t>Learning formats, timing and engagement mix</t>
  </si>
  <si>
    <t>Learning journey; training plan; engagement plan</t>
  </si>
  <si>
    <t>Learning pathways; L&amp;D input</t>
  </si>
  <si>
    <t>How do you usually hear about practice-wide changes (channel, sender), which of those do you actually read or act on, and how often would you want updates as later agents get dates?</t>
  </si>
  <si>
    <t>All five (launch communications)</t>
  </si>
  <si>
    <t>All later waves (updates as dates firm up)</t>
  </si>
  <si>
    <t>Channel map and update cadence</t>
  </si>
  <si>
    <t>Communications plan; weekly Teams posts; FAQs</t>
  </si>
  <si>
    <t>Communications channels and cadence</t>
  </si>
  <si>
    <t>Which message did you most recently act on, and why?</t>
  </si>
  <si>
    <t>Not agent-specific</t>
  </si>
  <si>
    <t>Influencer and champion candidates by persona</t>
  </si>
  <si>
    <t>Engagement plan (champions, early adopters)</t>
  </si>
  <si>
    <t>Champion selection</t>
  </si>
  <si>
    <t>Would you want to help test or champion the agents arriving by end of December, or help shape a later agent in your area, such as requirements, design, plans or status? What would you need in order to say yes?</t>
  </si>
  <si>
    <t>All five (December testing)</t>
  </si>
  <si>
    <t>Early input on a later agent in their area</t>
  </si>
  <si>
    <t>Champion and early-tester list by persona</t>
  </si>
  <si>
    <t>Engagement plan; Wave 1 testing; later-release planning</t>
  </si>
  <si>
    <t>A few months after rollout, how would you know it is working, for you and for your team? What would you notice, and what should we measure as later agents arrive?</t>
  </si>
  <si>
    <t>All five (30/60/90-day measures)</t>
  </si>
  <si>
    <t>Later agents' measures as they land</t>
  </si>
  <si>
    <t>Success indicators; survey items</t>
  </si>
  <si>
    <t>Adoption measurement approach; 30/60/90-day adoption reports</t>
  </si>
  <si>
    <t>Adoption measurement</t>
  </si>
  <si>
    <t>What is the one thing we should do, or avoid, to make this work, for the first agents and for what comes after?</t>
  </si>
  <si>
    <t>All</t>
  </si>
  <si>
    <t>Risks in the change and adoption plan; leadership-ready summary page</t>
  </si>
  <si>
    <t>Risk mitigation; leadership summary</t>
  </si>
  <si>
    <t>Questions subtotal (minutes)</t>
  </si>
  <si>
    <t>Intro and buffer (minutes)</t>
  </si>
  <si>
    <t>Total interview (minutes)</t>
  </si>
  <si>
    <t>C. What the interviews produce, and the future deliverable each feeds</t>
  </si>
  <si>
    <t>Validated change vision: what is changing, what stays, and why, revised after interviewees react.</t>
  </si>
  <si>
    <t>B1, R3, H2</t>
  </si>
  <si>
    <t>Change vision</t>
  </si>
  <si>
    <t>Wk 3, 10/9 (overdue per schedule)</t>
  </si>
  <si>
    <t>Stakeholder groups, needs and key messages: groups by level, persona and project situation, with what lands for each.</t>
  </si>
  <si>
    <t>R1, A1, B1, R2, R3, D1, F1</t>
  </si>
  <si>
    <t>Wk 4, 10/16 (overdue per schedule)</t>
  </si>
  <si>
    <t>Impact assessment by group: degree of impact of the agents on each group.</t>
  </si>
  <si>
    <t>R1, A1, R2, C2</t>
  </si>
  <si>
    <t>Tool-adoption personas: persona set from level, project role, the work they do and attitude to AI tools.</t>
  </si>
  <si>
    <t>R1, D1, E1 (+ profile form)</t>
  </si>
  <si>
    <t>Differentiated learning pathways (with L&amp;D)</t>
  </si>
  <si>
    <t>Wk 5, 10/22</t>
  </si>
  <si>
    <t>Learning needs and format inputs: skills needed, preferred formats and timing, by the work people do.</t>
  </si>
  <si>
    <t>E1, E3 (+ profile form)</t>
  </si>
  <si>
    <t>Learning journey; training plan</t>
  </si>
  <si>
    <t>Communications inputs: channels, cadence, alert preferences, and the 'what is / is not coming' wording.</t>
  </si>
  <si>
    <t>B1, B4, C2, F1, F2</t>
  </si>
  <si>
    <t>Communications plan; collateral; simplified roadmap</t>
  </si>
  <si>
    <t>Wk 6, 10/30; collateral Wk 8, 11/13</t>
  </si>
  <si>
    <t>Champion and early-tester list by persona.</t>
  </si>
  <si>
    <t>F2, F4</t>
  </si>
  <si>
    <t>Engagement plan; Wave 1 testing</t>
  </si>
  <si>
    <t>Wk 6, 10/30</t>
  </si>
  <si>
    <t>Barriers and risk log with mitigations.</t>
  </si>
  <si>
    <t>D1, D2, H2</t>
  </si>
  <si>
    <t>Risks in the change and adoption plan; PM/OL review</t>
  </si>
  <si>
    <t>Wk 8, 11/13</t>
  </si>
  <si>
    <t>Success indicators and baselines.</t>
  </si>
  <si>
    <t>A1, G1</t>
  </si>
  <si>
    <t>Persona heat map: how useful each persona finds each agent now and later, and whether to lead with Wave 1 or acknowledge later waves.</t>
  </si>
  <si>
    <t>R1, R2, R3, B4</t>
  </si>
  <si>
    <t>Persona-specific messages; learning pathways; later-release planning</t>
  </si>
  <si>
    <t>Leadership-ready summary page: what we heard by persona, what the plan will do, what we need from leaders.</t>
  </si>
  <si>
    <t>Readout to Winston; draft change and adoption plan</t>
  </si>
  <si>
    <t>Orange = leadership emphasis. Not an output of this round: podcast or training materials; decide up front if responses may be reused and tell interviewees.</t>
  </si>
  <si>
    <t>By Role: How Each Question Helps SCM, Finance, Technical, PM and Engagement Leaders</t>
  </si>
  <si>
    <t>One question set for everyone. Role context (R1) lets us compare answers by persona afterward. Everything here is a hypothesis to test, not a finding.</t>
  </si>
  <si>
    <t>A. Persona hypotheses</t>
  </si>
  <si>
    <t>SCM</t>
  </si>
  <si>
    <t>Finance</t>
  </si>
  <si>
    <t>Technical</t>
  </si>
  <si>
    <t>PM</t>
  </si>
  <si>
    <t>Engagement leader</t>
  </si>
  <si>
    <t>Who is included</t>
  </si>
  <si>
    <t>Supply-chain functional consultants (e.g., procurement, inventory, warehouse, planning)</t>
  </si>
  <si>
    <t>Finance functional consultants (e.g., ledger, payables, receivables, close, reporting)</t>
  </si>
  <si>
    <t>Solution architects, developers, data and integration consultants</t>
  </si>
  <si>
    <t>Project and program managers, delivery leads</t>
  </si>
  <si>
    <t>Directors, senior managers and others leading the engagement</t>
  </si>
  <si>
    <t>Likely Wave 1 touchpoints</t>
  </si>
  <si>
    <t>Meeting recaps; Continuous checks</t>
  </si>
  <si>
    <t>Continuous checks; Knowledge hub</t>
  </si>
  <si>
    <t>Project set-up; Attention dashboard; Meeting recaps</t>
  </si>
  <si>
    <t>Attention dashboard; Knowledge hub</t>
  </si>
  <si>
    <t>Likely later-wave pull</t>
  </si>
  <si>
    <t>Requirements capture; Fit-gap sorting; Functional design drafts; Test cases</t>
  </si>
  <si>
    <t>Requirements capture; Functional design drafts; Solution documentation; Microsoft release watch</t>
  </si>
  <si>
    <t>Technical design drafts; Test cases; Cutover; Hypercare support; Safe roll-out of improvements</t>
  </si>
  <si>
    <t>Delivery plans; Status reports; Workshop scheduling; Cutover; Hypercare support</t>
  </si>
  <si>
    <t>Status reports; Practice insights; Delivery plans</t>
  </si>
  <si>
    <t>Learning angle (work performed)</t>
  </si>
  <si>
    <t>Reviewing recaps, flags and drafted requirements on supply-chain content</t>
  </si>
  <si>
    <t>The same, with explanations and examples in finance terms</t>
  </si>
  <si>
    <t>Reviewing agent output against designs; later, technical drafts and cutover</t>
  </si>
  <si>
    <t>Delivery tasks (plans, status, scheduling) as those agents arrive</t>
  </si>
  <si>
    <t>Sponsoring, reviewing and coaching; what to ask of their teams</t>
  </si>
  <si>
    <t>What's in it for me (draft)</t>
  </si>
  <si>
    <t>Less time writing up workshops and hunting for past decisions</t>
  </si>
  <si>
    <t>Less rework when decisions change; faster answers on what was agreed</t>
  </si>
  <si>
    <t>Fewer late surprises from conflicting designs; faster 'what changed and why'</t>
  </si>
  <si>
    <t>Less re-keying of status; problems reach the right person sooner</t>
  </si>
  <si>
    <t>A clearer view of what needs you; fewer late conflicts</t>
  </si>
  <si>
    <t>B. What each question tells us, by persona (what to listen for)</t>
  </si>
  <si>
    <t>Which process areas and workshops they run; shows which agents touch their week</t>
  </si>
  <si>
    <t>Which finance areas they cover and what they hand to others</t>
  </si>
  <si>
    <t>Mix of design, build, data and integration; document-based or system-based work</t>
  </si>
  <si>
    <t>Share of week on plans, status and coordination; confirms which PM agents to prioritize</t>
  </si>
  <si>
    <t>Delivery versus oversight; whether they are users, sponsors or both</t>
  </si>
  <si>
    <t>Recap writing and chasing process decisions; hours writing up requirements</t>
  </si>
  <si>
    <t>Rework and documentation when finance decisions change; hours writing up requirements</t>
  </si>
  <si>
    <t>Time finding the latest design or decision; hours drafting technical design</t>
  </si>
  <si>
    <t>Status re-keying, plan updates, chasing owners; hours on plans and reports</t>
  </si>
  <si>
    <t>Time reconciling status across workstreams and answering 'where are we'</t>
  </si>
  <si>
    <t>Do they expect Wave 1 to touch their work, or only PM admin? Which later agents do they expect?</t>
  </si>
  <si>
    <t>Do they expect drafting help on finance content by December? Requirements and design drafts come later</t>
  </si>
  <si>
    <t>Do they expect help with code or configuration? Not planned; code is still being decided</t>
  </si>
  <si>
    <t>Do they expect plans or status reports by December? Those arrive in Waves 3 and 4</t>
  </si>
  <si>
    <t>Do they expect anything client-visible? The agents are internal to PwC</t>
  </si>
  <si>
    <t>Whether requirements capture, fit-gap sorting and functional design rate above Wave 1</t>
  </si>
  <si>
    <t>Whether value sits in requirements, design drafts, solution documentation or release watch</t>
  </si>
  <si>
    <t>Interest in technical design drafts, test cases, cutover, hypercare and safe roll-out</t>
  </si>
  <si>
    <t>Interest in delivery plans, status reports, workshop scheduling, cutover and hypercare</t>
  </si>
  <si>
    <t>Interest in status reports, practice insights and delivery plans; which agents they would sponsor</t>
  </si>
  <si>
    <t>Dated plan or just direction? Does hearing about later waves build or erode confidence?</t>
  </si>
  <si>
    <t>Do they want us to say plainly that their most-valued agents come later?</t>
  </si>
  <si>
    <t>Want scope limits stated plainly (no code, no D365 changes, no data loading)?</t>
  </si>
  <si>
    <t>Need dates to plan staffing and delivery on engagements?</t>
  </si>
  <si>
    <t>Need talking points for teams and clients without over-promising?</t>
  </si>
  <si>
    <t>Payoff in their words (less recap writing, faster answers, later less requirements drafting)</t>
  </si>
  <si>
    <t>Payoff in their words, with finance examples (fewer rework cycles when decisions change)</t>
  </si>
  <si>
    <t>Payoff in their words (fewer late conflicts, faster 'what changed and why')</t>
  </si>
  <si>
    <t>Payoff in their words (less status re-keying, earlier warning, plans drafted for them)</t>
  </si>
  <si>
    <t>Payoff for team and engagement (quality, predictability, a clearer view of what needs them)</t>
  </si>
  <si>
    <t>Who should get a flag when process decisions conflict; preferred channel</t>
  </si>
  <si>
    <t>Who should get a flag when a finance design conflicts with another area or a design draft carries a risk</t>
  </si>
  <si>
    <t>Flags inside ADO items or Teams? Tolerance for noise; who acknowledges design risks</t>
  </si>
  <si>
    <t>Needs flags in a personal list; owns routing; tolerance for volume</t>
  </si>
  <si>
    <t>Only high-impact flags? Expectations for escalation of unactioned items</t>
  </si>
  <si>
    <t>Time pressure; trust in recap accuracy; reluctance to rely on drafted requirements</t>
  </si>
  <si>
    <t>Accuracy on finance content; client-data concerns; more caution with drafted documents</t>
  </si>
  <si>
    <t>Fit with tools they already use; doubts on accuracy; code scope still undecided</t>
  </si>
  <si>
    <t>Effort of mid-project set-up; extra admin; trust in drafted plans and reports</t>
  </si>
  <si>
    <t>Incentives (utilization), client reaction, who owns set-up</t>
  </si>
  <si>
    <t>Does a peer demo on a similar process area carry weight? More proof for drafted requirements?</t>
  </si>
  <si>
    <t>Proof of accuracy on finance detail; finance peers using it</t>
  </si>
  <si>
    <t>Hands-on demo; accuracy results; proof for drafted designs and test cases</t>
  </si>
  <si>
    <t>Live walkthrough on a real project; PM peers using it</t>
  </si>
  <si>
    <t>Evidence for quality and clients; senior peers using it</t>
  </si>
  <si>
    <t>Skills to review recaps, flags and drafted requirements on supply-chain content</t>
  </si>
  <si>
    <t>Skills on finance tasks; explanations in finance terms</t>
  </si>
  <si>
    <t>How to review agent output against designs; technical drafts and cutover later</t>
  </si>
  <si>
    <t>Delivery tasks (plans, status, scheduling) as those agents land</t>
  </si>
  <si>
    <t>How to sponsor, review and coach; what to ask of their teams</t>
  </si>
  <si>
    <t>Formats that fit workshop-heavy weeks; training as each later agent arrives or ahead of time?</t>
  </si>
  <si>
    <t>Formats that fit peak periods such as month-end close</t>
  </si>
  <si>
    <t>Appetite for hands-on labs and peer demos</t>
  </si>
  <si>
    <t>Short sessions and office hours around delivery cadence</t>
  </si>
  <si>
    <t>Short briefings; little time</t>
  </si>
  <si>
    <t>Where supply-chain practitioners hear news; how often for later-wave updates</t>
  </si>
  <si>
    <t>Where finance practitioners hear news; preferred cadence</t>
  </si>
  <si>
    <t>ADO and Teams versus email; preferred cadence</t>
  </si>
  <si>
    <t>PM community calls and status cadence as natural slots</t>
  </si>
  <si>
    <t>Leadership meetings and director updates; how often</t>
  </si>
  <si>
    <t>Respected SCM leads and peers to recruit as champions</t>
  </si>
  <si>
    <t>Respected finance leads and peers</t>
  </si>
  <si>
    <t>Solution architects and technical leads others follow</t>
  </si>
  <si>
    <t>PM leads others follow</t>
  </si>
  <si>
    <t>Directors and partners whose view carries weight</t>
  </si>
  <si>
    <t>An SCM volunteer for testing, or to shape requirements and fit-gap agents later</t>
  </si>
  <si>
    <t>A finance volunteer for testing, or to shape requirements and documentation agents later</t>
  </si>
  <si>
    <t>A technical volunteer for testing, or to shape design, cutover and test-case agents later</t>
  </si>
  <si>
    <t>A PM volunteer for testing, or to shape plans, status and scheduling agents later</t>
  </si>
  <si>
    <t>A sponsor or early adopter from the leadership group</t>
  </si>
  <si>
    <t>Signals: fewer lost decisions, faster answers</t>
  </si>
  <si>
    <t>Signals: fewer rework cycles</t>
  </si>
  <si>
    <t>Signals: fewer late conflicts</t>
  </si>
  <si>
    <t>Signals: less status effort, earlier warning</t>
  </si>
  <si>
    <t>Signals: predictability and quality; scorecard measure</t>
  </si>
  <si>
    <t>Their single top ask, for the first agents and for what comes after</t>
  </si>
  <si>
    <t>Their single top ask; compare across personas for the summary page</t>
  </si>
  <si>
    <t>Orange = leadership emphasis. Anyone who does not fit the five personas is tagged 'Other'.</t>
  </si>
  <si>
    <t>Agent Heat Map: How Useful Each Persona Finds Each Agent (from R2)</t>
  </si>
  <si>
    <t>Results fill in from the ratings at the bottom. Rating: 3 = very useful, 2 = somewhat useful, 1 = low value, 0 = not relevant. If a persona rates later waves above Wave 1, messages should say so.</t>
  </si>
  <si>
    <t>Wave</t>
  </si>
  <si>
    <t>Agent</t>
  </si>
  <si>
    <t>What it does (from the stakeholder deck glossary)</t>
  </si>
  <si>
    <t>Other</t>
  </si>
  <si>
    <t>Interviews captured (n)</t>
  </si>
  <si>
    <t>Wave 1</t>
  </si>
  <si>
    <t>Project set-up</t>
  </si>
  <si>
    <t>One-time set-up per engagement, including projects under way: Azure DevOps, team and client templates.</t>
  </si>
  <si>
    <t>Meeting recaps</t>
  </si>
  <si>
    <t>Drafts recaps of recorded meetings for the meeting owner to release, links work items, flags new requirements.</t>
  </si>
  <si>
    <t>Continuous checks</t>
  </si>
  <si>
    <t>Checks requirements, designs and plans against each other for conflicts and gaps, and routes findings to owners.</t>
  </si>
  <si>
    <t>Attention dashboard</t>
  </si>
  <si>
    <t>A personal list of what needs your attention, with a way to act. Unactioned items escalate.</t>
  </si>
  <si>
    <t>Knowledge hub</t>
  </si>
  <si>
    <t>Answers 'what changed, when and why?' from the project record, with sources cited. Writes nothing back.</t>
  </si>
  <si>
    <t>Wave 2</t>
  </si>
  <si>
    <t>Requirements capture</t>
  </si>
  <si>
    <t>Turns workshop recordings and questionnaires into draft requirements for you to confirm.</t>
  </si>
  <si>
    <t>Fit-gap sorting</t>
  </si>
  <si>
    <t>Sorts each requirement into standard D365 or custom work, citing Microsoft documentation.</t>
  </si>
  <si>
    <t>Functional design drafts</t>
  </si>
  <si>
    <t>Drafts the functional design and flags risks for the architect to acknowledge.</t>
  </si>
  <si>
    <t>Technical design drafts</t>
  </si>
  <si>
    <t>Drafts the technical design from the approved functional design.</t>
  </si>
  <si>
    <t>Wave 3</t>
  </si>
  <si>
    <t>Discovery questionnaires</t>
  </si>
  <si>
    <t>Builds the discovery workbook from the firm's question library and takes answers back.</t>
  </si>
  <si>
    <t>Workshop scheduling</t>
  </si>
  <si>
    <t>Builds a workshop schedule from each consultant's needs and tracks bookings.</t>
  </si>
  <si>
    <t>Microsoft release watch</t>
  </si>
  <si>
    <t>Flags new Microsoft capability that overlaps something planned as a custom build.</t>
  </si>
  <si>
    <t>Solution documentation</t>
  </si>
  <si>
    <t>Produces the client-facing explanation of the solution, plus a separate internal view.</t>
  </si>
  <si>
    <t>Status reports</t>
  </si>
  <si>
    <t>Drafts two reports from live data: delivery health for PwC, progress for the client.</t>
  </si>
  <si>
    <t>Wave 4</t>
  </si>
  <si>
    <t>Delivery plans</t>
  </si>
  <si>
    <t>Drafts seven program plans, including data migration, testing and training.</t>
  </si>
  <si>
    <t>Cutover</t>
  </si>
  <si>
    <t>Builds the go-live checklist, with a task set for each rehearsal and live status.</t>
  </si>
  <si>
    <t>Hypercare support</t>
  </si>
  <si>
    <t>Researches each post-go-live issue and spots patterns across issues.</t>
  </si>
  <si>
    <t>Test cases</t>
  </si>
  <si>
    <t>Generates scenario-based test cases that chain requirements across processes.</t>
  </si>
  <si>
    <t>Training content</t>
  </si>
  <si>
    <t>Produces first-draft training material by security role, for consultants to edit.</t>
  </si>
  <si>
    <t>Practice insights</t>
  </si>
  <si>
    <t>Reads anonymized usage patterns and proposes improvements to shared templates.</t>
  </si>
  <si>
    <t>Safe roll-out of improvements</t>
  </si>
  <si>
    <t>Governs how approved improvements reach running projects, with rollback.</t>
  </si>
  <si>
    <t>Read-out by persona</t>
  </si>
  <si>
    <t>Measure</t>
  </si>
  <si>
    <t>Average value: Wave 1</t>
  </si>
  <si>
    <t>Average value: Wave 2</t>
  </si>
  <si>
    <t>Average value: Wave 3</t>
  </si>
  <si>
    <t>Average value: Wave 4</t>
  </si>
  <si>
    <t>Average value: later waves (2 to 4)</t>
  </si>
  <si>
    <t>Highest-rated agent</t>
  </si>
  <si>
    <t>Message guide</t>
  </si>
  <si>
    <t>Ratings input: one row per interview (row below the header is an example and is not counted)</t>
  </si>
  <si>
    <t>3 = very useful, 2 = somewhat useful, 1 = low value, 0 = not relevant; leave blank if not rated.</t>
  </si>
  <si>
    <t>Interview ID</t>
  </si>
  <si>
    <t>Level</t>
  </si>
  <si>
    <t>Persona</t>
  </si>
  <si>
    <t>EXAMPLE</t>
  </si>
  <si>
    <t>SM</t>
  </si>
  <si>
    <t>What had you heard before today, and from whom? What is unclear or sounds like jargon?</t>
  </si>
  <si>
    <t>Which agents from wave 1 are the most/least useful for your role? Waves 2-4?</t>
  </si>
  <si>
    <t>The 16 questions: what each touches and what it produces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</si>
</sst>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charset val="1"/>
    </font>
    <font>
      <b/>
      <sz val="14"/>
      <name val="Arial"/>
      <family val="2"/>
    </font>
    <font>
      <i/>
      <sz val="10"/>
      <color rgb="FF595959"/>
      <name val="Arial"/>
      <family val="2"/>
    </font>
    <font>
      <b/>
      <sz val="10"/>
      <name val="Arial"/>
      <family val="2"/>
    </font>
    <font>
      <sz val="10"/>
      <name val="Arial"/>
      <family val="2"/>
    </font>
    <font>
      <b/>
      <sz val="11"/>
      <color rgb="FFFFFFFF"/>
      <name val="Arial"/>
      <family val="2"/>
    </font>
    <font>
      <b/>
      <sz val="10"/>
      <color rgb="FFFFFFFF"/>
      <name val="Arial"/>
      <family val="2"/>
    </font>
    <font>
      <sz val="10"/>
      <color rgb="FF0000FF"/>
      <name val="Arial"/>
      <family val="2"/>
    </font>
    <font>
      <sz val="10"/>
      <color rgb="FFFFFFFF"/>
      <name val="Arial"/>
      <family val="2"/>
    </font>
    <font>
      <i/>
      <sz val="10"/>
      <color rgb="FF7F7F7F"/>
      <name val="Arial"/>
      <family val="2"/>
    </font>
    <font>
      <b/>
      <sz val="10"/>
      <name val="Arial"/>
      <family val="2"/>
    </font>
  </fonts>
  <fills count="7">
    <fill>
      <patternFill patternType="none"/>
    </fill>
    <fill>
      <patternFill patternType="gray125"/>
    </fill>
    <fill>
      <patternFill patternType="solid">
        <fgColor rgb="FFD04A02"/>
        <bgColor rgb="FF993300"/>
      </patternFill>
    </fill>
    <fill>
      <patternFill patternType="solid">
        <fgColor rgb="FF333333"/>
        <bgColor rgb="FF333300"/>
      </patternFill>
    </fill>
    <fill>
      <patternFill patternType="solid">
        <fgColor rgb="FFFBD9C3"/>
        <bgColor rgb="FFFFF2CC"/>
      </patternFill>
    </fill>
    <fill>
      <patternFill patternType="solid">
        <fgColor rgb="FFFBD9C3"/>
        <bgColor rgb="FFF2F2F2"/>
      </patternFill>
    </fill>
    <fill>
      <patternFill patternType="solid">
        <fgColor rgb="FFF2F2F2"/>
        <bgColor rgb="FFFFFFFF"/>
      </patternFill>
    </fill>
  </fills>
  <borders count="17">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medium">
        <color indexed="64"/>
      </left>
      <right style="thin">
        <color rgb="FFBFBFBF"/>
      </right>
      <top style="medium">
        <color indexed="64"/>
      </top>
      <bottom style="thin">
        <color rgb="FFBFBFBF"/>
      </bottom>
      <diagonal/>
    </border>
    <border>
      <left style="thin">
        <color rgb="FFBFBFBF"/>
      </left>
      <right style="thin">
        <color rgb="FFBFBFBF"/>
      </right>
      <top style="medium">
        <color indexed="64"/>
      </top>
      <bottom style="thin">
        <color rgb="FFBFBFBF"/>
      </bottom>
      <diagonal/>
    </border>
    <border>
      <left style="thin">
        <color rgb="FFBFBFBF"/>
      </left>
      <right style="medium">
        <color indexed="64"/>
      </right>
      <top style="medium">
        <color indexed="64"/>
      </top>
      <bottom style="thin">
        <color rgb="FFBFBFBF"/>
      </bottom>
      <diagonal/>
    </border>
    <border>
      <left style="medium">
        <color indexed="64"/>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BFBFBF"/>
      </right>
      <top style="thin">
        <color rgb="FFBFBFBF"/>
      </top>
      <bottom/>
      <diagonal/>
    </border>
    <border>
      <left/>
      <right style="thin">
        <color rgb="FFBFBFBF"/>
      </right>
      <top style="thin">
        <color rgb="FFBFBFBF"/>
      </top>
      <bottom style="medium">
        <color indexed="64"/>
      </bottom>
      <diagonal/>
    </border>
  </borders>
  <cellStyleXfs count="1">
    <xf numFmtId="0" fontId="0" fillId="0" borderId="0"/>
  </cellStyleXfs>
  <cellXfs count="60">
    <xf numFmtId="0" fontId="0" fillId="0" borderId="0" xfId="0"/>
    <xf numFmtId="0" fontId="4" fillId="0" borderId="1" xfId="0" applyFont="1" applyBorder="1" applyAlignment="1">
      <alignment vertical="top" wrapText="1"/>
    </xf>
    <xf numFmtId="0" fontId="6" fillId="3" borderId="1" xfId="0" applyFont="1" applyFill="1" applyBorder="1" applyAlignment="1">
      <alignment vertical="center" wrapText="1"/>
    </xf>
    <xf numFmtId="0" fontId="3" fillId="0" borderId="0" xfId="0" applyFont="1" applyAlignment="1">
      <alignment vertical="top" wrapText="1"/>
    </xf>
    <xf numFmtId="0" fontId="1" fillId="0" borderId="0" xfId="0" applyFont="1"/>
    <xf numFmtId="0" fontId="2" fillId="0" borderId="0" xfId="0" applyFont="1"/>
    <xf numFmtId="0" fontId="5" fillId="2" borderId="0" xfId="0" applyFont="1" applyFill="1"/>
    <xf numFmtId="0" fontId="0" fillId="2" borderId="0" xfId="0" applyFill="1"/>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3" fillId="5" borderId="1" xfId="0" applyFont="1" applyFill="1" applyBorder="1" applyAlignment="1">
      <alignment vertical="top" wrapText="1"/>
    </xf>
    <xf numFmtId="0" fontId="3" fillId="0" borderId="1" xfId="0" applyFont="1" applyBorder="1" applyAlignment="1">
      <alignment vertical="top" wrapText="1"/>
    </xf>
    <xf numFmtId="0" fontId="3" fillId="0" borderId="0" xfId="0" applyFont="1" applyAlignment="1">
      <alignment horizontal="center"/>
    </xf>
    <xf numFmtId="0" fontId="4" fillId="0" borderId="0" xfId="0" applyFont="1" applyAlignment="1">
      <alignment vertical="top" wrapText="1"/>
    </xf>
    <xf numFmtId="0" fontId="7" fillId="0" borderId="0" xfId="0" applyFont="1" applyAlignment="1">
      <alignment horizontal="center"/>
    </xf>
    <xf numFmtId="0" fontId="0" fillId="3" borderId="0" xfId="0" applyFill="1"/>
    <xf numFmtId="0" fontId="2" fillId="0" borderId="0" xfId="0" applyFont="1" applyAlignment="1">
      <alignment vertical="top" wrapText="1"/>
    </xf>
    <xf numFmtId="0" fontId="4" fillId="6" borderId="1" xfId="0" applyFont="1" applyFill="1" applyBorder="1" applyAlignment="1">
      <alignment vertical="top" wrapText="1"/>
    </xf>
    <xf numFmtId="0" fontId="3" fillId="6" borderId="1" xfId="0" applyFont="1" applyFill="1" applyBorder="1" applyAlignment="1">
      <alignment vertical="top" wrapText="1"/>
    </xf>
    <xf numFmtId="0" fontId="3" fillId="0" borderId="1" xfId="0" applyFont="1" applyBorder="1" applyAlignment="1">
      <alignment horizontal="center"/>
    </xf>
    <xf numFmtId="164" fontId="4" fillId="0" borderId="1" xfId="0" applyNumberFormat="1" applyFont="1" applyBorder="1" applyAlignment="1">
      <alignment horizontal="center" vertical="top"/>
    </xf>
    <xf numFmtId="164" fontId="3" fillId="0" borderId="1" xfId="0" applyNumberFormat="1" applyFont="1" applyBorder="1" applyAlignment="1">
      <alignment horizontal="center" vertical="top"/>
    </xf>
    <xf numFmtId="0" fontId="8" fillId="0" borderId="0" xfId="0" applyFont="1" applyAlignment="1">
      <alignment vertical="top" wrapText="1"/>
    </xf>
    <xf numFmtId="164" fontId="4" fillId="0" borderId="1" xfId="0" applyNumberFormat="1" applyFont="1" applyBorder="1" applyAlignment="1">
      <alignment horizontal="center"/>
    </xf>
    <xf numFmtId="164" fontId="3" fillId="0" borderId="1" xfId="0" applyNumberFormat="1" applyFont="1" applyBorder="1" applyAlignment="1">
      <alignment horizontal="center"/>
    </xf>
    <xf numFmtId="0" fontId="4" fillId="0" borderId="1" xfId="0" applyFont="1" applyBorder="1" applyAlignment="1">
      <alignment horizontal="center" vertical="top" wrapText="1"/>
    </xf>
    <xf numFmtId="0" fontId="3" fillId="0" borderId="1" xfId="0" applyFont="1" applyBorder="1" applyAlignment="1">
      <alignment horizontal="center" vertical="top" wrapText="1"/>
    </xf>
    <xf numFmtId="0" fontId="9" fillId="0" borderId="1" xfId="0" applyFont="1" applyBorder="1" applyAlignment="1">
      <alignment horizontal="left"/>
    </xf>
    <xf numFmtId="0" fontId="9" fillId="0" borderId="1" xfId="0" applyFont="1" applyBorder="1" applyAlignment="1">
      <alignment horizontal="center"/>
    </xf>
    <xf numFmtId="0" fontId="4" fillId="0" borderId="1" xfId="0" applyFont="1" applyBorder="1" applyAlignment="1">
      <alignment horizontal="left"/>
    </xf>
    <xf numFmtId="0" fontId="4" fillId="0" borderId="1" xfId="0" applyFont="1" applyBorder="1" applyAlignment="1">
      <alignment horizontal="center"/>
    </xf>
    <xf numFmtId="0" fontId="6" fillId="3" borderId="3" xfId="0" applyFont="1" applyFill="1" applyBorder="1" applyAlignment="1">
      <alignment vertical="center" wrapText="1"/>
    </xf>
    <xf numFmtId="0" fontId="4" fillId="5" borderId="1" xfId="0" applyFont="1" applyFill="1" applyBorder="1" applyAlignment="1">
      <alignment vertical="top" wrapText="1"/>
    </xf>
    <xf numFmtId="0" fontId="2" fillId="0" borderId="0" xfId="0" applyFont="1" applyAlignment="1">
      <alignment vertical="top" wrapText="1"/>
    </xf>
    <xf numFmtId="0" fontId="4" fillId="0" borderId="1" xfId="0" applyFont="1" applyBorder="1" applyAlignment="1">
      <alignment vertical="top" wrapText="1"/>
    </xf>
    <xf numFmtId="0" fontId="4" fillId="0" borderId="7" xfId="0" applyFont="1" applyFill="1" applyBorder="1" applyAlignment="1">
      <alignment vertical="top" wrapText="1"/>
    </xf>
    <xf numFmtId="0" fontId="3" fillId="0" borderId="1" xfId="0" applyFont="1" applyFill="1" applyBorder="1" applyAlignment="1">
      <alignment vertical="top" wrapText="1"/>
    </xf>
    <xf numFmtId="0" fontId="3" fillId="0" borderId="8" xfId="0" applyFont="1" applyFill="1" applyBorder="1" applyAlignment="1">
      <alignment vertical="top" wrapText="1"/>
    </xf>
    <xf numFmtId="0" fontId="4" fillId="0" borderId="2" xfId="0" applyFont="1" applyFill="1" applyBorder="1" applyAlignment="1">
      <alignment vertical="top" wrapText="1"/>
    </xf>
    <xf numFmtId="0" fontId="4" fillId="0" borderId="1" xfId="0" applyFont="1" applyFill="1" applyBorder="1" applyAlignment="1">
      <alignment vertical="top" wrapText="1"/>
    </xf>
    <xf numFmtId="0" fontId="7" fillId="0" borderId="1" xfId="0" applyFont="1" applyFill="1" applyBorder="1" applyAlignment="1">
      <alignment horizontal="center" vertical="top"/>
    </xf>
    <xf numFmtId="0" fontId="0" fillId="0" borderId="0" xfId="0" applyFill="1"/>
    <xf numFmtId="0" fontId="4" fillId="0" borderId="4" xfId="0" applyFont="1" applyFill="1" applyBorder="1" applyAlignment="1">
      <alignment vertical="top" wrapText="1"/>
    </xf>
    <xf numFmtId="0" fontId="3" fillId="0" borderId="5" xfId="0" applyFont="1" applyFill="1" applyBorder="1" applyAlignment="1">
      <alignment vertical="top" wrapText="1"/>
    </xf>
    <xf numFmtId="0" fontId="10" fillId="0" borderId="6" xfId="0" applyFont="1" applyFill="1" applyBorder="1" applyAlignment="1">
      <alignment vertical="top" wrapText="1"/>
    </xf>
    <xf numFmtId="0" fontId="10" fillId="0" borderId="8" xfId="0" applyFont="1" applyFill="1" applyBorder="1" applyAlignment="1">
      <alignment vertical="top" wrapText="1"/>
    </xf>
    <xf numFmtId="0" fontId="4" fillId="0" borderId="9" xfId="0" applyFont="1" applyFill="1" applyBorder="1" applyAlignment="1">
      <alignment vertical="top" wrapText="1"/>
    </xf>
    <xf numFmtId="0" fontId="3" fillId="0" borderId="10" xfId="0" applyFont="1" applyFill="1" applyBorder="1" applyAlignment="1">
      <alignment vertical="top" wrapText="1"/>
    </xf>
    <xf numFmtId="0" fontId="10" fillId="0" borderId="11" xfId="0" applyFont="1" applyFill="1" applyBorder="1" applyAlignment="1">
      <alignment vertical="top" wrapText="1"/>
    </xf>
    <xf numFmtId="0" fontId="6" fillId="3" borderId="2" xfId="0" applyFont="1" applyFill="1" applyBorder="1" applyAlignment="1">
      <alignment vertical="center" wrapText="1"/>
    </xf>
    <xf numFmtId="0" fontId="7" fillId="0" borderId="2" xfId="0" applyFont="1" applyFill="1" applyBorder="1" applyAlignment="1">
      <alignment horizontal="center" vertical="top"/>
    </xf>
    <xf numFmtId="0" fontId="5" fillId="2" borderId="12" xfId="0" applyFont="1" applyFill="1" applyBorder="1"/>
    <xf numFmtId="0" fontId="0" fillId="2" borderId="13" xfId="0" applyFill="1" applyBorder="1"/>
    <xf numFmtId="0" fontId="0" fillId="2" borderId="14" xfId="0" applyFill="1" applyBorder="1"/>
    <xf numFmtId="0" fontId="6" fillId="3" borderId="15" xfId="0" applyFont="1" applyFill="1" applyBorder="1" applyAlignment="1">
      <alignment vertical="center" wrapText="1"/>
    </xf>
    <xf numFmtId="0" fontId="6" fillId="3" borderId="8" xfId="0" applyFont="1" applyFill="1" applyBorder="1" applyAlignment="1">
      <alignment vertical="center" wrapText="1"/>
    </xf>
    <xf numFmtId="0" fontId="4" fillId="0" borderId="8" xfId="0" applyFont="1" applyFill="1" applyBorder="1" applyAlignment="1">
      <alignment vertical="top" wrapText="1"/>
    </xf>
    <xf numFmtId="0" fontId="4" fillId="0" borderId="16" xfId="0" applyFont="1" applyFill="1" applyBorder="1" applyAlignment="1">
      <alignment vertical="top" wrapText="1"/>
    </xf>
    <xf numFmtId="0" fontId="4" fillId="0" borderId="10" xfId="0" applyFont="1" applyFill="1" applyBorder="1" applyAlignment="1">
      <alignment vertical="top" wrapText="1"/>
    </xf>
    <xf numFmtId="0" fontId="4" fillId="0" borderId="1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D9C3"/>
      <rgbColor rgb="FF3366FF"/>
      <rgbColor rgb="FF33CCCC"/>
      <rgbColor rgb="FF99CC00"/>
      <rgbColor rgb="FFFFCC00"/>
      <rgbColor rgb="FFFF9900"/>
      <rgbColor rgb="FFD04A02"/>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A0C0E-2FBF-E74C-8EC4-284D4E1DD8F8}">
  <dimension ref="A1:J50"/>
  <sheetViews>
    <sheetView topLeftCell="A9" zoomScale="120" zoomScaleNormal="120" workbookViewId="0">
      <selection activeCell="A4" sqref="A4:XFD4"/>
    </sheetView>
  </sheetViews>
  <sheetFormatPr baseColWidth="10" defaultColWidth="8.6640625" defaultRowHeight="15" x14ac:dyDescent="0.2"/>
  <cols>
    <col min="1" max="2" width="6" customWidth="1"/>
    <col min="3" max="3" width="88.83203125" customWidth="1"/>
    <col min="4" max="4" width="28" customWidth="1"/>
    <col min="5" max="6" width="34" customWidth="1"/>
    <col min="7" max="7" width="38" customWidth="1"/>
    <col min="8" max="8" width="26" customWidth="1"/>
    <col min="9" max="9" width="6" hidden="1" customWidth="1"/>
    <col min="10" max="10" width="46" customWidth="1"/>
  </cols>
  <sheetData>
    <row r="1" spans="1:10" ht="18" x14ac:dyDescent="0.2">
      <c r="A1" s="4" t="s">
        <v>267</v>
      </c>
    </row>
    <row r="2" spans="1:10" x14ac:dyDescent="0.2">
      <c r="A2" s="5" t="s">
        <v>268</v>
      </c>
    </row>
    <row r="4" spans="1:10" ht="19.5" customHeight="1" x14ac:dyDescent="0.2">
      <c r="A4" s="6" t="s">
        <v>269</v>
      </c>
      <c r="B4" s="7"/>
      <c r="C4" s="7"/>
      <c r="D4" s="7"/>
      <c r="E4" s="7"/>
      <c r="F4" s="7"/>
      <c r="G4" s="7"/>
      <c r="H4" s="7"/>
      <c r="I4" s="7"/>
      <c r="J4" s="7"/>
    </row>
    <row r="5" spans="1:10" x14ac:dyDescent="0.2">
      <c r="A5" s="2" t="s">
        <v>1</v>
      </c>
      <c r="B5" s="2"/>
      <c r="C5" s="2" t="s">
        <v>270</v>
      </c>
      <c r="D5" s="2" t="s">
        <v>271</v>
      </c>
      <c r="E5" s="2" t="s">
        <v>272</v>
      </c>
      <c r="F5" s="2"/>
      <c r="G5" s="2"/>
      <c r="H5" s="2"/>
      <c r="I5" s="2"/>
      <c r="J5" s="2"/>
    </row>
    <row r="6" spans="1:10" ht="44.25" customHeight="1" x14ac:dyDescent="0.2">
      <c r="A6" s="9">
        <v>1</v>
      </c>
      <c r="B6" s="9"/>
      <c r="C6" s="10" t="s">
        <v>273</v>
      </c>
      <c r="D6" s="9" t="s">
        <v>274</v>
      </c>
      <c r="E6" s="32" t="s">
        <v>275</v>
      </c>
      <c r="F6" s="32"/>
      <c r="G6" s="32"/>
      <c r="H6" s="9"/>
      <c r="I6" s="9"/>
      <c r="J6" s="9"/>
    </row>
    <row r="7" spans="1:10" ht="31.5" customHeight="1" x14ac:dyDescent="0.2">
      <c r="A7" s="9">
        <v>2</v>
      </c>
      <c r="B7" s="9"/>
      <c r="C7" s="10" t="s">
        <v>276</v>
      </c>
      <c r="D7" s="9" t="s">
        <v>277</v>
      </c>
      <c r="E7" s="32" t="s">
        <v>278</v>
      </c>
      <c r="F7" s="32"/>
      <c r="G7" s="32"/>
      <c r="H7" s="9"/>
      <c r="I7" s="9"/>
      <c r="J7" s="9"/>
    </row>
    <row r="8" spans="1:10" ht="44.25" customHeight="1" x14ac:dyDescent="0.2">
      <c r="A8" s="9">
        <v>3</v>
      </c>
      <c r="B8" s="9"/>
      <c r="C8" s="10" t="s">
        <v>279</v>
      </c>
      <c r="D8" s="9" t="s">
        <v>280</v>
      </c>
      <c r="E8" s="32" t="s">
        <v>281</v>
      </c>
      <c r="F8" s="32"/>
      <c r="G8" s="32"/>
      <c r="H8" s="9"/>
      <c r="I8" s="9"/>
      <c r="J8" s="9"/>
    </row>
    <row r="9" spans="1:10" ht="31.5" customHeight="1" x14ac:dyDescent="0.2">
      <c r="A9" s="9">
        <v>4</v>
      </c>
      <c r="B9" s="9"/>
      <c r="C9" s="10" t="s">
        <v>282</v>
      </c>
      <c r="D9" s="9" t="s">
        <v>283</v>
      </c>
      <c r="E9" s="32" t="s">
        <v>284</v>
      </c>
      <c r="F9" s="32"/>
      <c r="G9" s="32"/>
      <c r="H9" s="9"/>
      <c r="I9" s="9"/>
      <c r="J9" s="9"/>
    </row>
    <row r="10" spans="1:10" ht="31.5" customHeight="1" x14ac:dyDescent="0.2">
      <c r="A10" s="9">
        <v>5</v>
      </c>
      <c r="B10" s="9"/>
      <c r="C10" s="10" t="s">
        <v>285</v>
      </c>
      <c r="D10" s="9" t="s">
        <v>286</v>
      </c>
      <c r="E10" s="32" t="s">
        <v>287</v>
      </c>
      <c r="F10" s="32"/>
      <c r="G10" s="32"/>
      <c r="H10" s="9"/>
      <c r="I10" s="9"/>
      <c r="J10" s="9"/>
    </row>
    <row r="11" spans="1:10" ht="31.5" customHeight="1" x14ac:dyDescent="0.2">
      <c r="A11" s="9">
        <v>6</v>
      </c>
      <c r="B11" s="9"/>
      <c r="C11" s="10" t="s">
        <v>288</v>
      </c>
      <c r="D11" s="9" t="s">
        <v>289</v>
      </c>
      <c r="E11" s="32" t="s">
        <v>290</v>
      </c>
      <c r="F11" s="32"/>
      <c r="G11" s="32"/>
      <c r="H11" s="9"/>
      <c r="I11" s="9"/>
      <c r="J11" s="9"/>
    </row>
    <row r="12" spans="1:10" ht="31.5" customHeight="1" x14ac:dyDescent="0.2">
      <c r="A12" s="9">
        <v>7</v>
      </c>
      <c r="B12" s="9"/>
      <c r="C12" s="10" t="s">
        <v>291</v>
      </c>
      <c r="D12" s="9" t="s">
        <v>274</v>
      </c>
      <c r="E12" s="32" t="s">
        <v>292</v>
      </c>
      <c r="F12" s="32"/>
      <c r="G12" s="32"/>
      <c r="H12" s="9"/>
      <c r="I12" s="9"/>
      <c r="J12" s="9"/>
    </row>
    <row r="13" spans="1:10" ht="44.25" customHeight="1" x14ac:dyDescent="0.2">
      <c r="A13" s="9">
        <v>8</v>
      </c>
      <c r="B13" s="9"/>
      <c r="C13" s="10" t="s">
        <v>293</v>
      </c>
      <c r="D13" s="9" t="s">
        <v>294</v>
      </c>
      <c r="E13" s="32" t="s">
        <v>295</v>
      </c>
      <c r="F13" s="32"/>
      <c r="G13" s="32"/>
      <c r="H13" s="9"/>
      <c r="I13" s="9"/>
      <c r="J13" s="9"/>
    </row>
    <row r="15" spans="1:10" ht="19.5" customHeight="1" x14ac:dyDescent="0.2">
      <c r="A15" s="6" t="s">
        <v>296</v>
      </c>
      <c r="B15" s="7"/>
      <c r="C15" s="7"/>
      <c r="D15" s="7"/>
      <c r="E15" s="7"/>
      <c r="F15" s="7"/>
      <c r="G15" s="7"/>
      <c r="H15" s="7"/>
      <c r="I15" s="7"/>
      <c r="J15" s="7"/>
    </row>
    <row r="16" spans="1:10" ht="30" customHeight="1" thickBot="1" x14ac:dyDescent="0.25">
      <c r="A16" s="31" t="s">
        <v>7</v>
      </c>
      <c r="B16" s="31" t="s">
        <v>8</v>
      </c>
      <c r="C16" s="31" t="s">
        <v>9</v>
      </c>
      <c r="D16" s="2" t="s">
        <v>297</v>
      </c>
      <c r="E16" s="2" t="s">
        <v>298</v>
      </c>
      <c r="F16" s="2" t="s">
        <v>299</v>
      </c>
      <c r="G16" s="2" t="s">
        <v>300</v>
      </c>
      <c r="H16" s="2" t="s">
        <v>301</v>
      </c>
      <c r="I16" s="2" t="s">
        <v>302</v>
      </c>
      <c r="J16" s="2" t="s">
        <v>303</v>
      </c>
    </row>
    <row r="17" spans="1:10" s="41" customFormat="1" ht="42" customHeight="1" x14ac:dyDescent="0.2">
      <c r="A17" s="42">
        <v>1</v>
      </c>
      <c r="B17" s="43" t="s">
        <v>294</v>
      </c>
      <c r="C17" s="44" t="s">
        <v>304</v>
      </c>
      <c r="D17" s="38" t="s">
        <v>305</v>
      </c>
      <c r="E17" s="39" t="s">
        <v>305</v>
      </c>
      <c r="F17" s="39" t="s">
        <v>306</v>
      </c>
      <c r="G17" s="39" t="s">
        <v>307</v>
      </c>
      <c r="H17" s="36" t="s">
        <v>308</v>
      </c>
      <c r="I17" s="40">
        <v>2</v>
      </c>
      <c r="J17" s="39" t="s">
        <v>309</v>
      </c>
    </row>
    <row r="18" spans="1:10" s="41" customFormat="1" ht="54.75" customHeight="1" x14ac:dyDescent="0.2">
      <c r="A18" s="35">
        <v>2</v>
      </c>
      <c r="B18" s="36" t="s">
        <v>13</v>
      </c>
      <c r="C18" s="45" t="s">
        <v>310</v>
      </c>
      <c r="D18" s="38" t="s">
        <v>311</v>
      </c>
      <c r="E18" s="39" t="s">
        <v>312</v>
      </c>
      <c r="F18" s="39" t="s">
        <v>313</v>
      </c>
      <c r="G18" s="39" t="s">
        <v>314</v>
      </c>
      <c r="H18" s="39" t="s">
        <v>315</v>
      </c>
      <c r="I18" s="40">
        <v>2</v>
      </c>
      <c r="J18" s="39" t="s">
        <v>316</v>
      </c>
    </row>
    <row r="19" spans="1:10" s="41" customFormat="1" ht="54.75" customHeight="1" x14ac:dyDescent="0.2">
      <c r="A19" s="35">
        <v>3</v>
      </c>
      <c r="B19" s="36" t="s">
        <v>14</v>
      </c>
      <c r="C19" s="37" t="s">
        <v>618</v>
      </c>
      <c r="D19" s="38" t="s">
        <v>318</v>
      </c>
      <c r="E19" s="39" t="s">
        <v>319</v>
      </c>
      <c r="F19" s="39" t="s">
        <v>320</v>
      </c>
      <c r="G19" s="39" t="s">
        <v>321</v>
      </c>
      <c r="H19" s="36" t="s">
        <v>322</v>
      </c>
      <c r="I19" s="40">
        <v>3</v>
      </c>
      <c r="J19" s="39" t="s">
        <v>323</v>
      </c>
    </row>
    <row r="20" spans="1:10" s="41" customFormat="1" ht="54.75" customHeight="1" x14ac:dyDescent="0.2">
      <c r="A20" s="35">
        <v>4</v>
      </c>
      <c r="B20" s="36" t="s">
        <v>283</v>
      </c>
      <c r="C20" s="37" t="s">
        <v>619</v>
      </c>
      <c r="D20" s="38" t="s">
        <v>318</v>
      </c>
      <c r="E20" s="39" t="s">
        <v>325</v>
      </c>
      <c r="F20" s="39" t="s">
        <v>326</v>
      </c>
      <c r="G20" s="39" t="s">
        <v>327</v>
      </c>
      <c r="H20" s="36" t="s">
        <v>328</v>
      </c>
      <c r="I20" s="40">
        <v>6</v>
      </c>
      <c r="J20" s="39" t="s">
        <v>329</v>
      </c>
    </row>
    <row r="21" spans="1:10" s="41" customFormat="1" ht="54.75" customHeight="1" x14ac:dyDescent="0.2">
      <c r="A21" s="35">
        <v>5</v>
      </c>
      <c r="B21" s="36" t="s">
        <v>331</v>
      </c>
      <c r="C21" s="45" t="s">
        <v>332</v>
      </c>
      <c r="D21" s="38" t="s">
        <v>333</v>
      </c>
      <c r="E21" s="39" t="s">
        <v>334</v>
      </c>
      <c r="F21" s="39" t="s">
        <v>335</v>
      </c>
      <c r="G21" s="39" t="s">
        <v>336</v>
      </c>
      <c r="H21" s="36" t="s">
        <v>337</v>
      </c>
      <c r="I21" s="40">
        <v>3</v>
      </c>
      <c r="J21" s="39" t="s">
        <v>338</v>
      </c>
    </row>
    <row r="22" spans="1:10" s="41" customFormat="1" ht="67.5" customHeight="1" x14ac:dyDescent="0.2">
      <c r="A22" s="35">
        <v>6</v>
      </c>
      <c r="B22" s="36" t="s">
        <v>18</v>
      </c>
      <c r="C22" s="45" t="s">
        <v>339</v>
      </c>
      <c r="D22" s="38" t="s">
        <v>340</v>
      </c>
      <c r="E22" s="39" t="s">
        <v>341</v>
      </c>
      <c r="F22" s="39" t="s">
        <v>342</v>
      </c>
      <c r="G22" s="39" t="s">
        <v>343</v>
      </c>
      <c r="H22" s="39" t="s">
        <v>344</v>
      </c>
      <c r="I22" s="40">
        <v>3</v>
      </c>
      <c r="J22" s="39" t="s">
        <v>130</v>
      </c>
    </row>
    <row r="23" spans="1:10" s="41" customFormat="1" ht="54.75" customHeight="1" x14ac:dyDescent="0.2">
      <c r="A23" s="35">
        <v>7</v>
      </c>
      <c r="B23" s="36" t="s">
        <v>19</v>
      </c>
      <c r="C23" s="45" t="s">
        <v>345</v>
      </c>
      <c r="D23" s="38" t="s">
        <v>318</v>
      </c>
      <c r="E23" s="39" t="s">
        <v>346</v>
      </c>
      <c r="F23" s="39" t="s">
        <v>347</v>
      </c>
      <c r="G23" s="39" t="s">
        <v>348</v>
      </c>
      <c r="H23" s="39" t="s">
        <v>349</v>
      </c>
      <c r="I23" s="40">
        <v>3</v>
      </c>
      <c r="J23" s="39" t="s">
        <v>350</v>
      </c>
    </row>
    <row r="24" spans="1:10" s="41" customFormat="1" ht="54.75" customHeight="1" x14ac:dyDescent="0.2">
      <c r="A24" s="35">
        <v>8</v>
      </c>
      <c r="B24" s="36" t="s">
        <v>20</v>
      </c>
      <c r="C24" s="45" t="s">
        <v>351</v>
      </c>
      <c r="D24" s="38" t="s">
        <v>352</v>
      </c>
      <c r="E24" s="39" t="s">
        <v>353</v>
      </c>
      <c r="F24" s="39" t="s">
        <v>166</v>
      </c>
      <c r="G24" s="39" t="s">
        <v>354</v>
      </c>
      <c r="H24" s="39" t="s">
        <v>349</v>
      </c>
      <c r="I24" s="40">
        <v>2</v>
      </c>
      <c r="J24" s="39" t="s">
        <v>355</v>
      </c>
    </row>
    <row r="25" spans="1:10" s="41" customFormat="1" ht="67.5" customHeight="1" x14ac:dyDescent="0.2">
      <c r="A25" s="35">
        <v>9</v>
      </c>
      <c r="B25" s="36" t="s">
        <v>21</v>
      </c>
      <c r="C25" s="45" t="s">
        <v>356</v>
      </c>
      <c r="D25" s="38" t="s">
        <v>318</v>
      </c>
      <c r="E25" s="39" t="s">
        <v>357</v>
      </c>
      <c r="F25" s="39" t="s">
        <v>358</v>
      </c>
      <c r="G25" s="39" t="s">
        <v>359</v>
      </c>
      <c r="H25" s="36" t="s">
        <v>360</v>
      </c>
      <c r="I25" s="40">
        <v>3</v>
      </c>
      <c r="J25" s="39" t="s">
        <v>361</v>
      </c>
    </row>
    <row r="26" spans="1:10" s="41" customFormat="1" ht="54.75" customHeight="1" x14ac:dyDescent="0.2">
      <c r="A26" s="35">
        <v>10</v>
      </c>
      <c r="B26" s="36" t="s">
        <v>23</v>
      </c>
      <c r="C26" s="45" t="s">
        <v>362</v>
      </c>
      <c r="D26" s="38" t="s">
        <v>318</v>
      </c>
      <c r="E26" s="39" t="s">
        <v>363</v>
      </c>
      <c r="F26" s="39" t="s">
        <v>364</v>
      </c>
      <c r="G26" s="39" t="s">
        <v>365</v>
      </c>
      <c r="H26" s="39" t="s">
        <v>366</v>
      </c>
      <c r="I26" s="40">
        <v>2</v>
      </c>
      <c r="J26" s="39" t="s">
        <v>204</v>
      </c>
    </row>
    <row r="27" spans="1:10" s="41" customFormat="1" ht="42" customHeight="1" x14ac:dyDescent="0.2">
      <c r="A27" s="35">
        <v>11</v>
      </c>
      <c r="B27" s="36" t="s">
        <v>24</v>
      </c>
      <c r="C27" s="45" t="s">
        <v>367</v>
      </c>
      <c r="D27" s="38" t="s">
        <v>368</v>
      </c>
      <c r="E27" s="39" t="s">
        <v>369</v>
      </c>
      <c r="F27" s="39" t="s">
        <v>370</v>
      </c>
      <c r="G27" s="39" t="s">
        <v>371</v>
      </c>
      <c r="H27" s="39" t="s">
        <v>372</v>
      </c>
      <c r="I27" s="40">
        <v>2</v>
      </c>
      <c r="J27" s="39" t="s">
        <v>373</v>
      </c>
    </row>
    <row r="28" spans="1:10" s="41" customFormat="1" ht="29.25" customHeight="1" x14ac:dyDescent="0.2">
      <c r="A28" s="35">
        <v>12</v>
      </c>
      <c r="B28" s="36" t="s">
        <v>25</v>
      </c>
      <c r="C28" s="45" t="s">
        <v>213</v>
      </c>
      <c r="D28" s="38" t="s">
        <v>374</v>
      </c>
      <c r="E28" s="39" t="s">
        <v>374</v>
      </c>
      <c r="F28" s="39" t="s">
        <v>375</v>
      </c>
      <c r="G28" s="39" t="s">
        <v>376</v>
      </c>
      <c r="H28" s="39" t="s">
        <v>377</v>
      </c>
      <c r="I28" s="40">
        <v>2</v>
      </c>
      <c r="J28" s="39" t="s">
        <v>214</v>
      </c>
    </row>
    <row r="29" spans="1:10" s="41" customFormat="1" ht="54.75" customHeight="1" x14ac:dyDescent="0.2">
      <c r="A29" s="35">
        <v>13</v>
      </c>
      <c r="B29" s="36" t="s">
        <v>26</v>
      </c>
      <c r="C29" s="45" t="s">
        <v>378</v>
      </c>
      <c r="D29" s="38" t="s">
        <v>379</v>
      </c>
      <c r="E29" s="39" t="s">
        <v>380</v>
      </c>
      <c r="F29" s="39" t="s">
        <v>381</v>
      </c>
      <c r="G29" s="39" t="s">
        <v>382</v>
      </c>
      <c r="H29" s="39" t="s">
        <v>377</v>
      </c>
      <c r="I29" s="40">
        <v>2</v>
      </c>
      <c r="J29" s="39" t="s">
        <v>226</v>
      </c>
    </row>
    <row r="30" spans="1:10" s="41" customFormat="1" ht="42" customHeight="1" x14ac:dyDescent="0.2">
      <c r="A30" s="35">
        <v>14</v>
      </c>
      <c r="B30" s="36" t="s">
        <v>27</v>
      </c>
      <c r="C30" s="45" t="s">
        <v>383</v>
      </c>
      <c r="D30" s="38" t="s">
        <v>384</v>
      </c>
      <c r="E30" s="39" t="s">
        <v>385</v>
      </c>
      <c r="F30" s="39" t="s">
        <v>386</v>
      </c>
      <c r="G30" s="39" t="s">
        <v>387</v>
      </c>
      <c r="H30" s="39" t="s">
        <v>388</v>
      </c>
      <c r="I30" s="40">
        <v>2</v>
      </c>
      <c r="J30" s="39" t="s">
        <v>238</v>
      </c>
    </row>
    <row r="31" spans="1:10" s="41" customFormat="1" ht="29.25" customHeight="1" thickBot="1" x14ac:dyDescent="0.25">
      <c r="A31" s="46">
        <v>15</v>
      </c>
      <c r="B31" s="47" t="s">
        <v>28</v>
      </c>
      <c r="C31" s="48" t="s">
        <v>389</v>
      </c>
      <c r="D31" s="38" t="s">
        <v>390</v>
      </c>
      <c r="E31" s="39" t="s">
        <v>390</v>
      </c>
      <c r="F31" s="39" t="s">
        <v>254</v>
      </c>
      <c r="G31" s="39" t="s">
        <v>391</v>
      </c>
      <c r="H31" s="39" t="s">
        <v>392</v>
      </c>
      <c r="I31" s="40">
        <v>2</v>
      </c>
      <c r="J31" s="39"/>
    </row>
    <row r="32" spans="1:10" hidden="1" x14ac:dyDescent="0.2">
      <c r="C32" s="3" t="s">
        <v>393</v>
      </c>
      <c r="I32" s="12">
        <f>SUM(I17:I31)</f>
        <v>39</v>
      </c>
    </row>
    <row r="33" spans="1:10" hidden="1" x14ac:dyDescent="0.2">
      <c r="C33" s="13" t="s">
        <v>394</v>
      </c>
      <c r="I33" s="14">
        <v>4</v>
      </c>
    </row>
    <row r="34" spans="1:10" hidden="1" x14ac:dyDescent="0.2">
      <c r="C34" s="3" t="s">
        <v>395</v>
      </c>
      <c r="I34" s="12">
        <f>I32+I33</f>
        <v>43</v>
      </c>
    </row>
    <row r="36" spans="1:10" ht="19.5" customHeight="1" x14ac:dyDescent="0.2">
      <c r="A36" s="6" t="s">
        <v>396</v>
      </c>
      <c r="B36" s="7"/>
      <c r="C36" s="7"/>
      <c r="D36" s="7"/>
      <c r="E36" s="7"/>
      <c r="F36" s="7"/>
      <c r="G36" s="7"/>
      <c r="H36" s="7"/>
      <c r="I36" s="7"/>
      <c r="J36" s="7"/>
    </row>
    <row r="37" spans="1:10" x14ac:dyDescent="0.2">
      <c r="A37" s="2" t="s">
        <v>1</v>
      </c>
      <c r="B37" s="2"/>
      <c r="C37" s="2" t="s">
        <v>2</v>
      </c>
      <c r="D37" s="2" t="s">
        <v>265</v>
      </c>
      <c r="E37" s="2" t="s">
        <v>300</v>
      </c>
      <c r="F37" s="2"/>
      <c r="G37" s="2"/>
      <c r="H37" s="2" t="s">
        <v>3</v>
      </c>
      <c r="I37" s="15"/>
      <c r="J37" s="15"/>
    </row>
    <row r="38" spans="1:10" ht="31.5" customHeight="1" x14ac:dyDescent="0.2">
      <c r="A38" s="1">
        <v>1</v>
      </c>
      <c r="B38" s="1"/>
      <c r="C38" s="1" t="s">
        <v>397</v>
      </c>
      <c r="D38" s="1" t="s">
        <v>398</v>
      </c>
      <c r="E38" s="34" t="s">
        <v>399</v>
      </c>
      <c r="F38" s="34"/>
      <c r="G38" s="34"/>
      <c r="H38" s="1" t="s">
        <v>400</v>
      </c>
      <c r="I38" s="1"/>
      <c r="J38" s="1"/>
    </row>
    <row r="39" spans="1:10" ht="31.5" customHeight="1" x14ac:dyDescent="0.2">
      <c r="A39" s="1">
        <v>2</v>
      </c>
      <c r="B39" s="1"/>
      <c r="C39" s="1" t="s">
        <v>401</v>
      </c>
      <c r="D39" s="1" t="s">
        <v>402</v>
      </c>
      <c r="E39" s="34" t="s">
        <v>266</v>
      </c>
      <c r="F39" s="34"/>
      <c r="G39" s="34"/>
      <c r="H39" s="1" t="s">
        <v>403</v>
      </c>
      <c r="I39" s="1"/>
      <c r="J39" s="1"/>
    </row>
    <row r="40" spans="1:10" ht="31.5" customHeight="1" x14ac:dyDescent="0.2">
      <c r="A40" s="1">
        <v>3</v>
      </c>
      <c r="B40" s="1"/>
      <c r="C40" s="1" t="s">
        <v>404</v>
      </c>
      <c r="D40" s="1" t="s">
        <v>405</v>
      </c>
      <c r="E40" s="34" t="s">
        <v>58</v>
      </c>
      <c r="F40" s="34"/>
      <c r="G40" s="34"/>
      <c r="H40" s="1" t="s">
        <v>403</v>
      </c>
      <c r="I40" s="1"/>
      <c r="J40" s="1"/>
    </row>
    <row r="41" spans="1:10" ht="31.5" customHeight="1" x14ac:dyDescent="0.2">
      <c r="A41" s="1">
        <v>4</v>
      </c>
      <c r="B41" s="1"/>
      <c r="C41" s="1" t="s">
        <v>406</v>
      </c>
      <c r="D41" s="1" t="s">
        <v>407</v>
      </c>
      <c r="E41" s="34" t="s">
        <v>408</v>
      </c>
      <c r="F41" s="34"/>
      <c r="G41" s="34"/>
      <c r="H41" s="1" t="s">
        <v>409</v>
      </c>
      <c r="I41" s="1"/>
      <c r="J41" s="1"/>
    </row>
    <row r="42" spans="1:10" ht="31.5" customHeight="1" x14ac:dyDescent="0.2">
      <c r="A42" s="1">
        <v>5</v>
      </c>
      <c r="B42" s="1"/>
      <c r="C42" s="1" t="s">
        <v>410</v>
      </c>
      <c r="D42" s="1" t="s">
        <v>411</v>
      </c>
      <c r="E42" s="34" t="s">
        <v>412</v>
      </c>
      <c r="F42" s="34"/>
      <c r="G42" s="34"/>
      <c r="H42" s="1" t="s">
        <v>409</v>
      </c>
      <c r="I42" s="1"/>
      <c r="J42" s="1"/>
    </row>
    <row r="43" spans="1:10" ht="31.5" customHeight="1" x14ac:dyDescent="0.2">
      <c r="A43" s="1">
        <v>6</v>
      </c>
      <c r="B43" s="1"/>
      <c r="C43" s="1" t="s">
        <v>413</v>
      </c>
      <c r="D43" s="1" t="s">
        <v>414</v>
      </c>
      <c r="E43" s="34" t="s">
        <v>415</v>
      </c>
      <c r="F43" s="34"/>
      <c r="G43" s="34"/>
      <c r="H43" s="1" t="s">
        <v>416</v>
      </c>
      <c r="I43" s="1"/>
      <c r="J43" s="1"/>
    </row>
    <row r="44" spans="1:10" ht="30" customHeight="1" x14ac:dyDescent="0.2">
      <c r="A44" s="1">
        <v>7</v>
      </c>
      <c r="B44" s="1"/>
      <c r="C44" s="1" t="s">
        <v>417</v>
      </c>
      <c r="D44" s="1" t="s">
        <v>418</v>
      </c>
      <c r="E44" s="34" t="s">
        <v>419</v>
      </c>
      <c r="F44" s="34"/>
      <c r="G44" s="34"/>
      <c r="H44" s="1" t="s">
        <v>420</v>
      </c>
      <c r="I44" s="1"/>
      <c r="J44" s="1"/>
    </row>
    <row r="45" spans="1:10" ht="30" customHeight="1" x14ac:dyDescent="0.2">
      <c r="A45" s="1">
        <v>8</v>
      </c>
      <c r="B45" s="1"/>
      <c r="C45" s="1" t="s">
        <v>421</v>
      </c>
      <c r="D45" s="1" t="s">
        <v>422</v>
      </c>
      <c r="E45" s="34" t="s">
        <v>423</v>
      </c>
      <c r="F45" s="34"/>
      <c r="G45" s="34"/>
      <c r="H45" s="1" t="s">
        <v>424</v>
      </c>
      <c r="I45" s="1"/>
      <c r="J45" s="1"/>
    </row>
    <row r="46" spans="1:10" ht="30" customHeight="1" x14ac:dyDescent="0.2">
      <c r="A46" s="1">
        <v>9</v>
      </c>
      <c r="B46" s="1"/>
      <c r="C46" s="1" t="s">
        <v>425</v>
      </c>
      <c r="D46" s="1" t="s">
        <v>426</v>
      </c>
      <c r="E46" s="34" t="s">
        <v>387</v>
      </c>
      <c r="F46" s="34"/>
      <c r="G46" s="34"/>
      <c r="H46" s="1" t="s">
        <v>420</v>
      </c>
      <c r="I46" s="1"/>
      <c r="J46" s="1"/>
    </row>
    <row r="47" spans="1:10" ht="44.25" customHeight="1" x14ac:dyDescent="0.2">
      <c r="A47" s="9">
        <v>10</v>
      </c>
      <c r="B47" s="9"/>
      <c r="C47" s="10" t="s">
        <v>427</v>
      </c>
      <c r="D47" s="9" t="s">
        <v>428</v>
      </c>
      <c r="E47" s="32" t="s">
        <v>429</v>
      </c>
      <c r="F47" s="32"/>
      <c r="G47" s="32"/>
      <c r="H47" s="9" t="s">
        <v>420</v>
      </c>
      <c r="I47" s="9"/>
      <c r="J47" s="9"/>
    </row>
    <row r="48" spans="1:10" ht="31.5" customHeight="1" x14ac:dyDescent="0.2">
      <c r="A48" s="9">
        <v>11</v>
      </c>
      <c r="B48" s="9"/>
      <c r="C48" s="10" t="s">
        <v>430</v>
      </c>
      <c r="D48" s="9" t="s">
        <v>274</v>
      </c>
      <c r="E48" s="32" t="s">
        <v>431</v>
      </c>
      <c r="F48" s="32"/>
      <c r="G48" s="32"/>
      <c r="H48" s="9" t="s">
        <v>420</v>
      </c>
      <c r="I48" s="9"/>
      <c r="J48" s="9"/>
    </row>
    <row r="50" spans="3:7" ht="30" customHeight="1" x14ac:dyDescent="0.2">
      <c r="C50" s="33" t="s">
        <v>432</v>
      </c>
      <c r="D50" s="33"/>
      <c r="E50" s="33"/>
      <c r="F50" s="33"/>
      <c r="G50" s="33"/>
    </row>
  </sheetData>
  <mergeCells count="20">
    <mergeCell ref="E48:G48"/>
    <mergeCell ref="C50:G50"/>
    <mergeCell ref="E42:G42"/>
    <mergeCell ref="E43:G43"/>
    <mergeCell ref="E44:G44"/>
    <mergeCell ref="E45:G45"/>
    <mergeCell ref="E46:G46"/>
    <mergeCell ref="E47:G47"/>
    <mergeCell ref="E12:G12"/>
    <mergeCell ref="E13:G13"/>
    <mergeCell ref="E38:G38"/>
    <mergeCell ref="E39:G39"/>
    <mergeCell ref="E40:G40"/>
    <mergeCell ref="E41:G41"/>
    <mergeCell ref="E6:G6"/>
    <mergeCell ref="E7:G7"/>
    <mergeCell ref="E8:G8"/>
    <mergeCell ref="E9:G9"/>
    <mergeCell ref="E10:G10"/>
    <mergeCell ref="E11:G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910A0-FA3B-4B59-8252-3E1D38A408AE}">
  <dimension ref="A1:G22"/>
  <sheetViews>
    <sheetView tabSelected="1" zoomScale="120" zoomScaleNormal="120" workbookViewId="0">
      <selection activeCell="E6" sqref="E6"/>
    </sheetView>
  </sheetViews>
  <sheetFormatPr baseColWidth="10" defaultColWidth="8.6640625" defaultRowHeight="15" x14ac:dyDescent="0.2"/>
  <cols>
    <col min="1" max="1" width="6" customWidth="1"/>
    <col min="2" max="2" width="88.83203125" customWidth="1"/>
    <col min="3" max="3" width="28" hidden="1" customWidth="1"/>
    <col min="4" max="4" width="34" hidden="1" customWidth="1"/>
    <col min="5" max="5" width="38" customWidth="1"/>
    <col min="6" max="6" width="6" hidden="1" customWidth="1"/>
    <col min="7" max="7" width="46" hidden="1" customWidth="1"/>
  </cols>
  <sheetData>
    <row r="1" spans="1:7" ht="18" x14ac:dyDescent="0.2">
      <c r="A1" s="4" t="s">
        <v>267</v>
      </c>
    </row>
    <row r="2" spans="1:7" ht="16" thickBot="1" x14ac:dyDescent="0.25"/>
    <row r="3" spans="1:7" ht="19.5" customHeight="1" x14ac:dyDescent="0.2">
      <c r="A3" s="51" t="s">
        <v>620</v>
      </c>
      <c r="B3" s="52"/>
      <c r="C3" s="52"/>
      <c r="D3" s="52"/>
      <c r="E3" s="53"/>
      <c r="F3" s="7"/>
      <c r="G3" s="7"/>
    </row>
    <row r="4" spans="1:7" ht="30" customHeight="1" thickBot="1" x14ac:dyDescent="0.25">
      <c r="A4" s="54" t="s">
        <v>7</v>
      </c>
      <c r="B4" s="31" t="s">
        <v>9</v>
      </c>
      <c r="C4" s="2" t="s">
        <v>297</v>
      </c>
      <c r="D4" s="2" t="s">
        <v>298</v>
      </c>
      <c r="E4" s="55" t="s">
        <v>300</v>
      </c>
      <c r="F4" s="49" t="s">
        <v>302</v>
      </c>
      <c r="G4" s="2" t="s">
        <v>303</v>
      </c>
    </row>
    <row r="5" spans="1:7" s="41" customFormat="1" ht="42" customHeight="1" x14ac:dyDescent="0.2">
      <c r="A5" s="42">
        <v>1</v>
      </c>
      <c r="B5" s="44" t="s">
        <v>304</v>
      </c>
      <c r="C5" s="38" t="s">
        <v>318</v>
      </c>
      <c r="D5" s="38" t="s">
        <v>318</v>
      </c>
      <c r="E5" s="56" t="s">
        <v>307</v>
      </c>
      <c r="F5" s="50">
        <v>2</v>
      </c>
      <c r="G5" s="39" t="s">
        <v>309</v>
      </c>
    </row>
    <row r="6" spans="1:7" s="41" customFormat="1" ht="54.75" customHeight="1" x14ac:dyDescent="0.2">
      <c r="A6" s="35">
        <v>2</v>
      </c>
      <c r="B6" s="45" t="s">
        <v>310</v>
      </c>
      <c r="C6" s="38" t="s">
        <v>311</v>
      </c>
      <c r="D6" s="39" t="s">
        <v>312</v>
      </c>
      <c r="E6" s="56" t="s">
        <v>314</v>
      </c>
      <c r="F6" s="50">
        <v>2</v>
      </c>
      <c r="G6" s="39" t="s">
        <v>316</v>
      </c>
    </row>
    <row r="7" spans="1:7" s="41" customFormat="1" ht="54.75" customHeight="1" x14ac:dyDescent="0.2">
      <c r="A7" s="35">
        <v>3</v>
      </c>
      <c r="B7" s="37" t="s">
        <v>618</v>
      </c>
      <c r="C7" s="38" t="s">
        <v>318</v>
      </c>
      <c r="D7" s="39" t="s">
        <v>325</v>
      </c>
      <c r="E7" s="56" t="s">
        <v>321</v>
      </c>
      <c r="F7" s="50">
        <v>3</v>
      </c>
      <c r="G7" s="39" t="s">
        <v>323</v>
      </c>
    </row>
    <row r="8" spans="1:7" s="41" customFormat="1" ht="54.75" customHeight="1" x14ac:dyDescent="0.2">
      <c r="A8" s="35">
        <v>4</v>
      </c>
      <c r="B8" s="37" t="s">
        <v>619</v>
      </c>
      <c r="C8" s="38" t="s">
        <v>318</v>
      </c>
      <c r="D8" s="39" t="s">
        <v>325</v>
      </c>
      <c r="E8" s="56" t="s">
        <v>327</v>
      </c>
      <c r="F8" s="50">
        <v>6</v>
      </c>
      <c r="G8" s="39" t="s">
        <v>329</v>
      </c>
    </row>
    <row r="9" spans="1:7" s="41" customFormat="1" ht="54.75" customHeight="1" x14ac:dyDescent="0.2">
      <c r="A9" s="35">
        <v>5</v>
      </c>
      <c r="B9" s="45" t="s">
        <v>332</v>
      </c>
      <c r="C9" s="38" t="s">
        <v>333</v>
      </c>
      <c r="D9" s="39" t="s">
        <v>334</v>
      </c>
      <c r="E9" s="56" t="s">
        <v>336</v>
      </c>
      <c r="F9" s="50">
        <v>3</v>
      </c>
      <c r="G9" s="39" t="s">
        <v>338</v>
      </c>
    </row>
    <row r="10" spans="1:7" s="41" customFormat="1" ht="67.5" customHeight="1" x14ac:dyDescent="0.2">
      <c r="A10" s="35">
        <v>6</v>
      </c>
      <c r="B10" s="45" t="s">
        <v>339</v>
      </c>
      <c r="C10" s="38" t="s">
        <v>340</v>
      </c>
      <c r="D10" s="39" t="s">
        <v>341</v>
      </c>
      <c r="E10" s="56" t="s">
        <v>343</v>
      </c>
      <c r="F10" s="50">
        <v>3</v>
      </c>
      <c r="G10" s="39" t="s">
        <v>130</v>
      </c>
    </row>
    <row r="11" spans="1:7" s="41" customFormat="1" ht="54.75" customHeight="1" x14ac:dyDescent="0.2">
      <c r="A11" s="35">
        <v>7</v>
      </c>
      <c r="B11" s="45" t="s">
        <v>345</v>
      </c>
      <c r="C11" s="38" t="s">
        <v>318</v>
      </c>
      <c r="D11" s="39" t="s">
        <v>346</v>
      </c>
      <c r="E11" s="56" t="s">
        <v>348</v>
      </c>
      <c r="F11" s="50">
        <v>3</v>
      </c>
      <c r="G11" s="39" t="s">
        <v>350</v>
      </c>
    </row>
    <row r="12" spans="1:7" s="41" customFormat="1" ht="54.75" customHeight="1" x14ac:dyDescent="0.2">
      <c r="A12" s="35">
        <v>8</v>
      </c>
      <c r="B12" s="45" t="s">
        <v>351</v>
      </c>
      <c r="C12" s="38" t="s">
        <v>352</v>
      </c>
      <c r="D12" s="39" t="s">
        <v>353</v>
      </c>
      <c r="E12" s="56" t="s">
        <v>354</v>
      </c>
      <c r="F12" s="50">
        <v>2</v>
      </c>
      <c r="G12" s="39" t="s">
        <v>355</v>
      </c>
    </row>
    <row r="13" spans="1:7" s="41" customFormat="1" ht="67.5" customHeight="1" x14ac:dyDescent="0.2">
      <c r="A13" s="35">
        <v>9</v>
      </c>
      <c r="B13" s="45" t="s">
        <v>356</v>
      </c>
      <c r="C13" s="38" t="s">
        <v>318</v>
      </c>
      <c r="D13" s="39" t="s">
        <v>357</v>
      </c>
      <c r="E13" s="56" t="s">
        <v>359</v>
      </c>
      <c r="F13" s="50">
        <v>3</v>
      </c>
      <c r="G13" s="39" t="s">
        <v>361</v>
      </c>
    </row>
    <row r="14" spans="1:7" s="41" customFormat="1" ht="54.75" customHeight="1" x14ac:dyDescent="0.2">
      <c r="A14" s="35">
        <v>10</v>
      </c>
      <c r="B14" s="45" t="s">
        <v>362</v>
      </c>
      <c r="C14" s="38" t="s">
        <v>318</v>
      </c>
      <c r="D14" s="39" t="s">
        <v>363</v>
      </c>
      <c r="E14" s="56" t="s">
        <v>365</v>
      </c>
      <c r="F14" s="50">
        <v>2</v>
      </c>
      <c r="G14" s="39" t="s">
        <v>204</v>
      </c>
    </row>
    <row r="15" spans="1:7" s="41" customFormat="1" ht="42" customHeight="1" x14ac:dyDescent="0.2">
      <c r="A15" s="35">
        <v>11</v>
      </c>
      <c r="B15" s="45" t="s">
        <v>367</v>
      </c>
      <c r="C15" s="38" t="s">
        <v>368</v>
      </c>
      <c r="D15" s="39" t="s">
        <v>369</v>
      </c>
      <c r="E15" s="56" t="s">
        <v>371</v>
      </c>
      <c r="F15" s="50">
        <v>2</v>
      </c>
      <c r="G15" s="39" t="s">
        <v>373</v>
      </c>
    </row>
    <row r="16" spans="1:7" s="41" customFormat="1" ht="29.25" customHeight="1" x14ac:dyDescent="0.2">
      <c r="A16" s="35">
        <v>12</v>
      </c>
      <c r="B16" s="45" t="s">
        <v>213</v>
      </c>
      <c r="C16" s="38" t="s">
        <v>374</v>
      </c>
      <c r="D16" s="39" t="s">
        <v>374</v>
      </c>
      <c r="E16" s="56" t="s">
        <v>376</v>
      </c>
      <c r="F16" s="50">
        <v>2</v>
      </c>
      <c r="G16" s="39" t="s">
        <v>214</v>
      </c>
    </row>
    <row r="17" spans="1:7" s="41" customFormat="1" ht="54.75" customHeight="1" x14ac:dyDescent="0.2">
      <c r="A17" s="35">
        <v>13</v>
      </c>
      <c r="B17" s="45" t="s">
        <v>378</v>
      </c>
      <c r="C17" s="38" t="s">
        <v>379</v>
      </c>
      <c r="D17" s="39" t="s">
        <v>380</v>
      </c>
      <c r="E17" s="56" t="s">
        <v>382</v>
      </c>
      <c r="F17" s="50">
        <v>2</v>
      </c>
      <c r="G17" s="39" t="s">
        <v>226</v>
      </c>
    </row>
    <row r="18" spans="1:7" s="41" customFormat="1" ht="42" customHeight="1" x14ac:dyDescent="0.2">
      <c r="A18" s="35">
        <v>14</v>
      </c>
      <c r="B18" s="45" t="s">
        <v>383</v>
      </c>
      <c r="C18" s="38" t="s">
        <v>384</v>
      </c>
      <c r="D18" s="39" t="s">
        <v>385</v>
      </c>
      <c r="E18" s="56" t="s">
        <v>387</v>
      </c>
      <c r="F18" s="50">
        <v>2</v>
      </c>
      <c r="G18" s="39" t="s">
        <v>238</v>
      </c>
    </row>
    <row r="19" spans="1:7" s="41" customFormat="1" ht="29.25" customHeight="1" thickBot="1" x14ac:dyDescent="0.25">
      <c r="A19" s="46">
        <v>15</v>
      </c>
      <c r="B19" s="48" t="s">
        <v>389</v>
      </c>
      <c r="C19" s="57" t="s">
        <v>390</v>
      </c>
      <c r="D19" s="58" t="s">
        <v>390</v>
      </c>
      <c r="E19" s="59" t="s">
        <v>391</v>
      </c>
      <c r="F19" s="50">
        <v>2</v>
      </c>
      <c r="G19" s="39"/>
    </row>
    <row r="20" spans="1:7" hidden="1" x14ac:dyDescent="0.2">
      <c r="B20" s="3" t="s">
        <v>393</v>
      </c>
      <c r="F20" s="12">
        <f>SUM(F5:F19)</f>
        <v>39</v>
      </c>
    </row>
    <row r="21" spans="1:7" hidden="1" x14ac:dyDescent="0.2">
      <c r="B21" s="13" t="s">
        <v>394</v>
      </c>
      <c r="F21" s="14">
        <v>4</v>
      </c>
    </row>
    <row r="22" spans="1:7" hidden="1" x14ac:dyDescent="0.2">
      <c r="B22" s="3" t="s">
        <v>395</v>
      </c>
      <c r="F22" s="12">
        <f>F20+F21</f>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EF8E6-DE46-445F-A761-CE900BE43AD6}">
  <dimension ref="A1:G31"/>
  <sheetViews>
    <sheetView topLeftCell="A8" workbookViewId="0">
      <selection activeCell="D17" sqref="D17"/>
    </sheetView>
  </sheetViews>
  <sheetFormatPr baseColWidth="10" defaultColWidth="8.6640625" defaultRowHeight="15" x14ac:dyDescent="0.2"/>
  <cols>
    <col min="1" max="1" width="6" customWidth="1"/>
    <col min="2" max="2" width="56" customWidth="1"/>
    <col min="3" max="7" width="34" customWidth="1"/>
  </cols>
  <sheetData>
    <row r="1" spans="1:7" ht="18" x14ac:dyDescent="0.2">
      <c r="A1" s="4" t="s">
        <v>433</v>
      </c>
    </row>
    <row r="2" spans="1:7" x14ac:dyDescent="0.2">
      <c r="A2" s="5" t="s">
        <v>434</v>
      </c>
    </row>
    <row r="4" spans="1:7" ht="19.5" customHeight="1" x14ac:dyDescent="0.2">
      <c r="A4" s="6" t="s">
        <v>435</v>
      </c>
      <c r="B4" s="7"/>
      <c r="C4" s="7"/>
      <c r="D4" s="7"/>
      <c r="E4" s="7"/>
      <c r="F4" s="7"/>
      <c r="G4" s="7"/>
    </row>
    <row r="5" spans="1:7" x14ac:dyDescent="0.2">
      <c r="A5" s="2"/>
      <c r="B5" s="2"/>
      <c r="C5" s="2" t="s">
        <v>436</v>
      </c>
      <c r="D5" s="2" t="s">
        <v>437</v>
      </c>
      <c r="E5" s="2" t="s">
        <v>438</v>
      </c>
      <c r="F5" s="2" t="s">
        <v>439</v>
      </c>
      <c r="G5" s="2" t="s">
        <v>440</v>
      </c>
    </row>
    <row r="6" spans="1:7" ht="42" x14ac:dyDescent="0.2">
      <c r="A6" s="17"/>
      <c r="B6" s="18" t="s">
        <v>441</v>
      </c>
      <c r="C6" s="1" t="s">
        <v>442</v>
      </c>
      <c r="D6" s="1" t="s">
        <v>443</v>
      </c>
      <c r="E6" s="1" t="s">
        <v>444</v>
      </c>
      <c r="F6" s="1" t="s">
        <v>445</v>
      </c>
      <c r="G6" s="1" t="s">
        <v>446</v>
      </c>
    </row>
    <row r="7" spans="1:7" ht="28" x14ac:dyDescent="0.2">
      <c r="A7" s="17"/>
      <c r="B7" s="18" t="s">
        <v>447</v>
      </c>
      <c r="C7" s="1" t="s">
        <v>311</v>
      </c>
      <c r="D7" s="1" t="s">
        <v>448</v>
      </c>
      <c r="E7" s="1" t="s">
        <v>449</v>
      </c>
      <c r="F7" s="1" t="s">
        <v>450</v>
      </c>
      <c r="G7" s="1" t="s">
        <v>451</v>
      </c>
    </row>
    <row r="8" spans="1:7" ht="42" x14ac:dyDescent="0.2">
      <c r="A8" s="17"/>
      <c r="B8" s="18" t="s">
        <v>452</v>
      </c>
      <c r="C8" s="1" t="s">
        <v>453</v>
      </c>
      <c r="D8" s="1" t="s">
        <v>454</v>
      </c>
      <c r="E8" s="1" t="s">
        <v>455</v>
      </c>
      <c r="F8" s="1" t="s">
        <v>456</v>
      </c>
      <c r="G8" s="1" t="s">
        <v>457</v>
      </c>
    </row>
    <row r="9" spans="1:7" ht="28" x14ac:dyDescent="0.2">
      <c r="A9" s="17"/>
      <c r="B9" s="18" t="s">
        <v>458</v>
      </c>
      <c r="C9" s="1" t="s">
        <v>459</v>
      </c>
      <c r="D9" s="1" t="s">
        <v>460</v>
      </c>
      <c r="E9" s="1" t="s">
        <v>461</v>
      </c>
      <c r="F9" s="1" t="s">
        <v>462</v>
      </c>
      <c r="G9" s="1" t="s">
        <v>463</v>
      </c>
    </row>
    <row r="10" spans="1:7" ht="28" x14ac:dyDescent="0.2">
      <c r="A10" s="17"/>
      <c r="B10" s="18" t="s">
        <v>464</v>
      </c>
      <c r="C10" s="1" t="s">
        <v>465</v>
      </c>
      <c r="D10" s="1" t="s">
        <v>466</v>
      </c>
      <c r="E10" s="1" t="s">
        <v>467</v>
      </c>
      <c r="F10" s="1" t="s">
        <v>468</v>
      </c>
      <c r="G10" s="1" t="s">
        <v>469</v>
      </c>
    </row>
    <row r="12" spans="1:7" ht="19.5" customHeight="1" x14ac:dyDescent="0.2">
      <c r="A12" s="6" t="s">
        <v>470</v>
      </c>
      <c r="B12" s="7"/>
      <c r="C12" s="7"/>
      <c r="D12" s="7"/>
      <c r="E12" s="7"/>
      <c r="F12" s="7"/>
      <c r="G12" s="7"/>
    </row>
    <row r="13" spans="1:7" x14ac:dyDescent="0.2">
      <c r="A13" s="2" t="s">
        <v>8</v>
      </c>
      <c r="B13" s="2" t="s">
        <v>9</v>
      </c>
      <c r="C13" s="2" t="s">
        <v>436</v>
      </c>
      <c r="D13" s="2" t="s">
        <v>437</v>
      </c>
      <c r="E13" s="2" t="s">
        <v>438</v>
      </c>
      <c r="F13" s="2" t="s">
        <v>439</v>
      </c>
      <c r="G13" s="2" t="s">
        <v>440</v>
      </c>
    </row>
    <row r="14" spans="1:7" ht="42" x14ac:dyDescent="0.2">
      <c r="A14" s="10" t="s">
        <v>294</v>
      </c>
      <c r="B14" s="9" t="s">
        <v>304</v>
      </c>
      <c r="C14" s="9" t="s">
        <v>471</v>
      </c>
      <c r="D14" s="9" t="s">
        <v>472</v>
      </c>
      <c r="E14" s="9" t="s">
        <v>473</v>
      </c>
      <c r="F14" s="9" t="s">
        <v>474</v>
      </c>
      <c r="G14" s="9" t="s">
        <v>475</v>
      </c>
    </row>
    <row r="15" spans="1:7" ht="56" x14ac:dyDescent="0.2">
      <c r="A15" s="11" t="s">
        <v>13</v>
      </c>
      <c r="B15" s="1" t="s">
        <v>310</v>
      </c>
      <c r="C15" s="1" t="s">
        <v>476</v>
      </c>
      <c r="D15" s="1" t="s">
        <v>477</v>
      </c>
      <c r="E15" s="1" t="s">
        <v>478</v>
      </c>
      <c r="F15" s="1" t="s">
        <v>479</v>
      </c>
      <c r="G15" s="1" t="s">
        <v>480</v>
      </c>
    </row>
    <row r="16" spans="1:7" ht="42" x14ac:dyDescent="0.2">
      <c r="A16" s="10" t="s">
        <v>14</v>
      </c>
      <c r="B16" s="9" t="s">
        <v>317</v>
      </c>
      <c r="C16" s="9" t="s">
        <v>481</v>
      </c>
      <c r="D16" s="9" t="s">
        <v>482</v>
      </c>
      <c r="E16" s="9" t="s">
        <v>483</v>
      </c>
      <c r="F16" s="9" t="s">
        <v>484</v>
      </c>
      <c r="G16" s="9" t="s">
        <v>485</v>
      </c>
    </row>
    <row r="17" spans="1:7" ht="56" x14ac:dyDescent="0.2">
      <c r="A17" s="10" t="s">
        <v>283</v>
      </c>
      <c r="B17" s="9" t="s">
        <v>324</v>
      </c>
      <c r="C17" s="9" t="s">
        <v>486</v>
      </c>
      <c r="D17" s="9" t="s">
        <v>487</v>
      </c>
      <c r="E17" s="9" t="s">
        <v>488</v>
      </c>
      <c r="F17" s="9" t="s">
        <v>489</v>
      </c>
      <c r="G17" s="9" t="s">
        <v>490</v>
      </c>
    </row>
    <row r="18" spans="1:7" ht="42" x14ac:dyDescent="0.2">
      <c r="A18" s="11" t="s">
        <v>17</v>
      </c>
      <c r="B18" s="1" t="s">
        <v>330</v>
      </c>
      <c r="C18" s="1" t="s">
        <v>491</v>
      </c>
      <c r="D18" s="1" t="s">
        <v>492</v>
      </c>
      <c r="E18" s="1" t="s">
        <v>493</v>
      </c>
      <c r="F18" s="1" t="s">
        <v>494</v>
      </c>
      <c r="G18" s="1" t="s">
        <v>495</v>
      </c>
    </row>
    <row r="19" spans="1:7" ht="56" x14ac:dyDescent="0.2">
      <c r="A19" s="10" t="s">
        <v>331</v>
      </c>
      <c r="B19" s="9" t="s">
        <v>332</v>
      </c>
      <c r="C19" s="9" t="s">
        <v>496</v>
      </c>
      <c r="D19" s="9" t="s">
        <v>497</v>
      </c>
      <c r="E19" s="9" t="s">
        <v>498</v>
      </c>
      <c r="F19" s="9" t="s">
        <v>499</v>
      </c>
      <c r="G19" s="9" t="s">
        <v>500</v>
      </c>
    </row>
    <row r="20" spans="1:7" ht="70" x14ac:dyDescent="0.2">
      <c r="A20" s="11" t="s">
        <v>18</v>
      </c>
      <c r="B20" s="1" t="s">
        <v>339</v>
      </c>
      <c r="C20" s="1" t="s">
        <v>501</v>
      </c>
      <c r="D20" s="1" t="s">
        <v>502</v>
      </c>
      <c r="E20" s="1" t="s">
        <v>503</v>
      </c>
      <c r="F20" s="1" t="s">
        <v>504</v>
      </c>
      <c r="G20" s="1" t="s">
        <v>505</v>
      </c>
    </row>
    <row r="21" spans="1:7" ht="42" x14ac:dyDescent="0.2">
      <c r="A21" s="11" t="s">
        <v>19</v>
      </c>
      <c r="B21" s="1" t="s">
        <v>345</v>
      </c>
      <c r="C21" s="1" t="s">
        <v>506</v>
      </c>
      <c r="D21" s="1" t="s">
        <v>507</v>
      </c>
      <c r="E21" s="1" t="s">
        <v>508</v>
      </c>
      <c r="F21" s="1" t="s">
        <v>509</v>
      </c>
      <c r="G21" s="1" t="s">
        <v>510</v>
      </c>
    </row>
    <row r="22" spans="1:7" ht="42" x14ac:dyDescent="0.2">
      <c r="A22" s="11" t="s">
        <v>20</v>
      </c>
      <c r="B22" s="1" t="s">
        <v>351</v>
      </c>
      <c r="C22" s="1" t="s">
        <v>511</v>
      </c>
      <c r="D22" s="1" t="s">
        <v>512</v>
      </c>
      <c r="E22" s="1" t="s">
        <v>513</v>
      </c>
      <c r="F22" s="1" t="s">
        <v>514</v>
      </c>
      <c r="G22" s="1" t="s">
        <v>515</v>
      </c>
    </row>
    <row r="23" spans="1:7" ht="42" x14ac:dyDescent="0.2">
      <c r="A23" s="10" t="s">
        <v>21</v>
      </c>
      <c r="B23" s="9" t="s">
        <v>356</v>
      </c>
      <c r="C23" s="9" t="s">
        <v>516</v>
      </c>
      <c r="D23" s="9" t="s">
        <v>517</v>
      </c>
      <c r="E23" s="9" t="s">
        <v>518</v>
      </c>
      <c r="F23" s="9" t="s">
        <v>519</v>
      </c>
      <c r="G23" s="9" t="s">
        <v>520</v>
      </c>
    </row>
    <row r="24" spans="1:7" ht="56" x14ac:dyDescent="0.2">
      <c r="A24" s="11" t="s">
        <v>23</v>
      </c>
      <c r="B24" s="1" t="s">
        <v>362</v>
      </c>
      <c r="C24" s="1" t="s">
        <v>521</v>
      </c>
      <c r="D24" s="1" t="s">
        <v>522</v>
      </c>
      <c r="E24" s="1" t="s">
        <v>523</v>
      </c>
      <c r="F24" s="1" t="s">
        <v>524</v>
      </c>
      <c r="G24" s="1" t="s">
        <v>525</v>
      </c>
    </row>
    <row r="25" spans="1:7" ht="42" x14ac:dyDescent="0.2">
      <c r="A25" s="11" t="s">
        <v>24</v>
      </c>
      <c r="B25" s="1" t="s">
        <v>367</v>
      </c>
      <c r="C25" s="1" t="s">
        <v>526</v>
      </c>
      <c r="D25" s="1" t="s">
        <v>527</v>
      </c>
      <c r="E25" s="1" t="s">
        <v>528</v>
      </c>
      <c r="F25" s="1" t="s">
        <v>529</v>
      </c>
      <c r="G25" s="1" t="s">
        <v>530</v>
      </c>
    </row>
    <row r="26" spans="1:7" ht="28" x14ac:dyDescent="0.2">
      <c r="A26" s="11" t="s">
        <v>25</v>
      </c>
      <c r="B26" s="1" t="s">
        <v>213</v>
      </c>
      <c r="C26" s="1" t="s">
        <v>531</v>
      </c>
      <c r="D26" s="1" t="s">
        <v>532</v>
      </c>
      <c r="E26" s="1" t="s">
        <v>533</v>
      </c>
      <c r="F26" s="1" t="s">
        <v>534</v>
      </c>
      <c r="G26" s="1" t="s">
        <v>535</v>
      </c>
    </row>
    <row r="27" spans="1:7" ht="56" x14ac:dyDescent="0.2">
      <c r="A27" s="11" t="s">
        <v>26</v>
      </c>
      <c r="B27" s="1" t="s">
        <v>378</v>
      </c>
      <c r="C27" s="1" t="s">
        <v>536</v>
      </c>
      <c r="D27" s="1" t="s">
        <v>537</v>
      </c>
      <c r="E27" s="1" t="s">
        <v>538</v>
      </c>
      <c r="F27" s="1" t="s">
        <v>539</v>
      </c>
      <c r="G27" s="1" t="s">
        <v>540</v>
      </c>
    </row>
    <row r="28" spans="1:7" ht="42" x14ac:dyDescent="0.2">
      <c r="A28" s="11" t="s">
        <v>27</v>
      </c>
      <c r="B28" s="1" t="s">
        <v>383</v>
      </c>
      <c r="C28" s="1" t="s">
        <v>541</v>
      </c>
      <c r="D28" s="1" t="s">
        <v>542</v>
      </c>
      <c r="E28" s="1" t="s">
        <v>543</v>
      </c>
      <c r="F28" s="1" t="s">
        <v>544</v>
      </c>
      <c r="G28" s="1" t="s">
        <v>545</v>
      </c>
    </row>
    <row r="29" spans="1:7" ht="28" x14ac:dyDescent="0.2">
      <c r="A29" s="11" t="s">
        <v>28</v>
      </c>
      <c r="B29" s="1" t="s">
        <v>389</v>
      </c>
      <c r="C29" s="1" t="s">
        <v>546</v>
      </c>
      <c r="D29" s="1" t="s">
        <v>546</v>
      </c>
      <c r="E29" s="1" t="s">
        <v>546</v>
      </c>
      <c r="F29" s="1" t="s">
        <v>546</v>
      </c>
      <c r="G29" s="1" t="s">
        <v>547</v>
      </c>
    </row>
    <row r="31" spans="1:7" ht="28" x14ac:dyDescent="0.2">
      <c r="B31" s="16" t="s">
        <v>548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E4174-B2E1-41F2-A61B-C7275FC8A4CE}">
  <dimension ref="A1:X92"/>
  <sheetViews>
    <sheetView workbookViewId="0">
      <selection activeCell="D17" sqref="D17"/>
    </sheetView>
  </sheetViews>
  <sheetFormatPr baseColWidth="10" defaultColWidth="8.6640625" defaultRowHeight="15" x14ac:dyDescent="0.2"/>
  <cols>
    <col min="1" max="1" width="9" customWidth="1"/>
    <col min="2" max="2" width="30" customWidth="1"/>
    <col min="3" max="3" width="64" customWidth="1"/>
    <col min="4" max="24" width="12" customWidth="1"/>
  </cols>
  <sheetData>
    <row r="1" spans="1:10" ht="18" x14ac:dyDescent="0.2">
      <c r="A1" s="4" t="s">
        <v>549</v>
      </c>
    </row>
    <row r="2" spans="1:10" x14ac:dyDescent="0.2">
      <c r="A2" s="5" t="s">
        <v>550</v>
      </c>
    </row>
    <row r="4" spans="1:10" ht="30" customHeight="1" x14ac:dyDescent="0.2">
      <c r="A4" s="2" t="s">
        <v>551</v>
      </c>
      <c r="B4" s="2" t="s">
        <v>552</v>
      </c>
      <c r="C4" s="2" t="s">
        <v>553</v>
      </c>
      <c r="D4" s="2" t="s">
        <v>436</v>
      </c>
      <c r="E4" s="2" t="s">
        <v>437</v>
      </c>
      <c r="F4" s="2" t="s">
        <v>438</v>
      </c>
      <c r="G4" s="2" t="s">
        <v>439</v>
      </c>
      <c r="H4" s="2" t="s">
        <v>440</v>
      </c>
      <c r="I4" s="2" t="s">
        <v>554</v>
      </c>
      <c r="J4" s="2" t="s">
        <v>390</v>
      </c>
    </row>
    <row r="5" spans="1:10" x14ac:dyDescent="0.2">
      <c r="B5" s="11" t="s">
        <v>555</v>
      </c>
      <c r="D5" s="19">
        <f t="shared" ref="D5:I5" si="0">COUNTIF($C$43:$C$92,D$4)</f>
        <v>0</v>
      </c>
      <c r="E5" s="19">
        <f t="shared" si="0"/>
        <v>0</v>
      </c>
      <c r="F5" s="19">
        <f t="shared" si="0"/>
        <v>0</v>
      </c>
      <c r="G5" s="19">
        <f t="shared" si="0"/>
        <v>0</v>
      </c>
      <c r="H5" s="19">
        <f t="shared" si="0"/>
        <v>0</v>
      </c>
      <c r="I5" s="19">
        <f t="shared" si="0"/>
        <v>0</v>
      </c>
      <c r="J5" s="19">
        <f>SUM(D5:I5)</f>
        <v>0</v>
      </c>
    </row>
    <row r="6" spans="1:10" ht="29.25" customHeight="1" x14ac:dyDescent="0.2">
      <c r="A6" s="1" t="s">
        <v>556</v>
      </c>
      <c r="B6" s="11" t="s">
        <v>557</v>
      </c>
      <c r="C6" s="1" t="s">
        <v>558</v>
      </c>
      <c r="D6" s="20" t="str">
        <f t="shared" ref="D6:I21" si="1">IFERROR(AVERAGEIFS(INDEX($D$43:$X$92,0,MATCH($B6,$D$41:$X$41,0)),$C$43:$C$92,D$4),"")</f>
        <v/>
      </c>
      <c r="E6" s="20" t="str">
        <f t="shared" si="1"/>
        <v/>
      </c>
      <c r="F6" s="20" t="str">
        <f t="shared" si="1"/>
        <v/>
      </c>
      <c r="G6" s="20" t="str">
        <f t="shared" si="1"/>
        <v/>
      </c>
      <c r="H6" s="20" t="str">
        <f t="shared" si="1"/>
        <v/>
      </c>
      <c r="I6" s="20" t="str">
        <f t="shared" si="1"/>
        <v/>
      </c>
      <c r="J6" s="21" t="str">
        <f t="shared" ref="J6:J26" si="2">IFERROR(AVERAGE(INDEX($D$43:$X$92,0,MATCH($B6,$D$41:$X$41,0))),"")</f>
        <v/>
      </c>
    </row>
    <row r="7" spans="1:10" ht="29.25" customHeight="1" x14ac:dyDescent="0.2">
      <c r="A7" s="1" t="s">
        <v>556</v>
      </c>
      <c r="B7" s="11" t="s">
        <v>559</v>
      </c>
      <c r="C7" s="1" t="s">
        <v>560</v>
      </c>
      <c r="D7" s="20" t="str">
        <f t="shared" si="1"/>
        <v/>
      </c>
      <c r="E7" s="20" t="str">
        <f t="shared" si="1"/>
        <v/>
      </c>
      <c r="F7" s="20" t="str">
        <f t="shared" si="1"/>
        <v/>
      </c>
      <c r="G7" s="20" t="str">
        <f t="shared" si="1"/>
        <v/>
      </c>
      <c r="H7" s="20" t="str">
        <f t="shared" si="1"/>
        <v/>
      </c>
      <c r="I7" s="20" t="str">
        <f t="shared" si="1"/>
        <v/>
      </c>
      <c r="J7" s="21" t="str">
        <f t="shared" si="2"/>
        <v/>
      </c>
    </row>
    <row r="8" spans="1:10" ht="29.25" customHeight="1" x14ac:dyDescent="0.2">
      <c r="A8" s="1" t="s">
        <v>556</v>
      </c>
      <c r="B8" s="11" t="s">
        <v>561</v>
      </c>
      <c r="C8" s="1" t="s">
        <v>562</v>
      </c>
      <c r="D8" s="20" t="str">
        <f t="shared" si="1"/>
        <v/>
      </c>
      <c r="E8" s="20" t="str">
        <f t="shared" si="1"/>
        <v/>
      </c>
      <c r="F8" s="20" t="str">
        <f t="shared" si="1"/>
        <v/>
      </c>
      <c r="G8" s="20" t="str">
        <f t="shared" si="1"/>
        <v/>
      </c>
      <c r="H8" s="20" t="str">
        <f t="shared" si="1"/>
        <v/>
      </c>
      <c r="I8" s="20" t="str">
        <f t="shared" si="1"/>
        <v/>
      </c>
      <c r="J8" s="21" t="str">
        <f t="shared" si="2"/>
        <v/>
      </c>
    </row>
    <row r="9" spans="1:10" ht="29.25" customHeight="1" x14ac:dyDescent="0.2">
      <c r="A9" s="1" t="s">
        <v>556</v>
      </c>
      <c r="B9" s="11" t="s">
        <v>563</v>
      </c>
      <c r="C9" s="1" t="s">
        <v>564</v>
      </c>
      <c r="D9" s="20" t="str">
        <f t="shared" si="1"/>
        <v/>
      </c>
      <c r="E9" s="20" t="str">
        <f t="shared" si="1"/>
        <v/>
      </c>
      <c r="F9" s="20" t="str">
        <f t="shared" si="1"/>
        <v/>
      </c>
      <c r="G9" s="20" t="str">
        <f t="shared" si="1"/>
        <v/>
      </c>
      <c r="H9" s="20" t="str">
        <f t="shared" si="1"/>
        <v/>
      </c>
      <c r="I9" s="20" t="str">
        <f t="shared" si="1"/>
        <v/>
      </c>
      <c r="J9" s="21" t="str">
        <f t="shared" si="2"/>
        <v/>
      </c>
    </row>
    <row r="10" spans="1:10" ht="29.25" customHeight="1" x14ac:dyDescent="0.2">
      <c r="A10" s="1" t="s">
        <v>556</v>
      </c>
      <c r="B10" s="11" t="s">
        <v>565</v>
      </c>
      <c r="C10" s="1" t="s">
        <v>566</v>
      </c>
      <c r="D10" s="20" t="str">
        <f t="shared" si="1"/>
        <v/>
      </c>
      <c r="E10" s="20" t="str">
        <f t="shared" si="1"/>
        <v/>
      </c>
      <c r="F10" s="20" t="str">
        <f t="shared" si="1"/>
        <v/>
      </c>
      <c r="G10" s="20" t="str">
        <f t="shared" si="1"/>
        <v/>
      </c>
      <c r="H10" s="20" t="str">
        <f t="shared" si="1"/>
        <v/>
      </c>
      <c r="I10" s="20" t="str">
        <f t="shared" si="1"/>
        <v/>
      </c>
      <c r="J10" s="21" t="str">
        <f t="shared" si="2"/>
        <v/>
      </c>
    </row>
    <row r="11" spans="1:10" ht="29.25" customHeight="1" x14ac:dyDescent="0.2">
      <c r="A11" s="1" t="s">
        <v>567</v>
      </c>
      <c r="B11" s="11" t="s">
        <v>568</v>
      </c>
      <c r="C11" s="1" t="s">
        <v>569</v>
      </c>
      <c r="D11" s="20" t="str">
        <f t="shared" si="1"/>
        <v/>
      </c>
      <c r="E11" s="20" t="str">
        <f t="shared" si="1"/>
        <v/>
      </c>
      <c r="F11" s="20" t="str">
        <f t="shared" si="1"/>
        <v/>
      </c>
      <c r="G11" s="20" t="str">
        <f t="shared" si="1"/>
        <v/>
      </c>
      <c r="H11" s="20" t="str">
        <f t="shared" si="1"/>
        <v/>
      </c>
      <c r="I11" s="20" t="str">
        <f t="shared" si="1"/>
        <v/>
      </c>
      <c r="J11" s="21" t="str">
        <f t="shared" si="2"/>
        <v/>
      </c>
    </row>
    <row r="12" spans="1:10" ht="29.25" customHeight="1" x14ac:dyDescent="0.2">
      <c r="A12" s="1" t="s">
        <v>567</v>
      </c>
      <c r="B12" s="11" t="s">
        <v>570</v>
      </c>
      <c r="C12" s="1" t="s">
        <v>571</v>
      </c>
      <c r="D12" s="20" t="str">
        <f t="shared" si="1"/>
        <v/>
      </c>
      <c r="E12" s="20" t="str">
        <f t="shared" si="1"/>
        <v/>
      </c>
      <c r="F12" s="20" t="str">
        <f t="shared" si="1"/>
        <v/>
      </c>
      <c r="G12" s="20" t="str">
        <f t="shared" si="1"/>
        <v/>
      </c>
      <c r="H12" s="20" t="str">
        <f t="shared" si="1"/>
        <v/>
      </c>
      <c r="I12" s="20" t="str">
        <f t="shared" si="1"/>
        <v/>
      </c>
      <c r="J12" s="21" t="str">
        <f t="shared" si="2"/>
        <v/>
      </c>
    </row>
    <row r="13" spans="1:10" ht="29.25" customHeight="1" x14ac:dyDescent="0.2">
      <c r="A13" s="1" t="s">
        <v>567</v>
      </c>
      <c r="B13" s="11" t="s">
        <v>572</v>
      </c>
      <c r="C13" s="1" t="s">
        <v>573</v>
      </c>
      <c r="D13" s="20" t="str">
        <f t="shared" si="1"/>
        <v/>
      </c>
      <c r="E13" s="20" t="str">
        <f t="shared" si="1"/>
        <v/>
      </c>
      <c r="F13" s="20" t="str">
        <f t="shared" si="1"/>
        <v/>
      </c>
      <c r="G13" s="20" t="str">
        <f t="shared" si="1"/>
        <v/>
      </c>
      <c r="H13" s="20" t="str">
        <f t="shared" si="1"/>
        <v/>
      </c>
      <c r="I13" s="20" t="str">
        <f t="shared" si="1"/>
        <v/>
      </c>
      <c r="J13" s="21" t="str">
        <f t="shared" si="2"/>
        <v/>
      </c>
    </row>
    <row r="14" spans="1:10" ht="29.25" customHeight="1" x14ac:dyDescent="0.2">
      <c r="A14" s="1" t="s">
        <v>567</v>
      </c>
      <c r="B14" s="11" t="s">
        <v>574</v>
      </c>
      <c r="C14" s="1" t="s">
        <v>575</v>
      </c>
      <c r="D14" s="20" t="str">
        <f t="shared" si="1"/>
        <v/>
      </c>
      <c r="E14" s="20" t="str">
        <f t="shared" si="1"/>
        <v/>
      </c>
      <c r="F14" s="20" t="str">
        <f t="shared" si="1"/>
        <v/>
      </c>
      <c r="G14" s="20" t="str">
        <f t="shared" si="1"/>
        <v/>
      </c>
      <c r="H14" s="20" t="str">
        <f t="shared" si="1"/>
        <v/>
      </c>
      <c r="I14" s="20" t="str">
        <f t="shared" si="1"/>
        <v/>
      </c>
      <c r="J14" s="21" t="str">
        <f t="shared" si="2"/>
        <v/>
      </c>
    </row>
    <row r="15" spans="1:10" ht="29.25" customHeight="1" x14ac:dyDescent="0.2">
      <c r="A15" s="1" t="s">
        <v>576</v>
      </c>
      <c r="B15" s="11" t="s">
        <v>577</v>
      </c>
      <c r="C15" s="1" t="s">
        <v>578</v>
      </c>
      <c r="D15" s="20" t="str">
        <f t="shared" si="1"/>
        <v/>
      </c>
      <c r="E15" s="20" t="str">
        <f t="shared" si="1"/>
        <v/>
      </c>
      <c r="F15" s="20" t="str">
        <f t="shared" si="1"/>
        <v/>
      </c>
      <c r="G15" s="20" t="str">
        <f t="shared" si="1"/>
        <v/>
      </c>
      <c r="H15" s="20" t="str">
        <f t="shared" si="1"/>
        <v/>
      </c>
      <c r="I15" s="20" t="str">
        <f t="shared" si="1"/>
        <v/>
      </c>
      <c r="J15" s="21" t="str">
        <f t="shared" si="2"/>
        <v/>
      </c>
    </row>
    <row r="16" spans="1:10" ht="29.25" customHeight="1" x14ac:dyDescent="0.2">
      <c r="A16" s="1" t="s">
        <v>576</v>
      </c>
      <c r="B16" s="11" t="s">
        <v>579</v>
      </c>
      <c r="C16" s="1" t="s">
        <v>580</v>
      </c>
      <c r="D16" s="20" t="str">
        <f t="shared" si="1"/>
        <v/>
      </c>
      <c r="E16" s="20" t="str">
        <f t="shared" si="1"/>
        <v/>
      </c>
      <c r="F16" s="20" t="str">
        <f t="shared" si="1"/>
        <v/>
      </c>
      <c r="G16" s="20" t="str">
        <f t="shared" si="1"/>
        <v/>
      </c>
      <c r="H16" s="20" t="str">
        <f t="shared" si="1"/>
        <v/>
      </c>
      <c r="I16" s="20" t="str">
        <f t="shared" si="1"/>
        <v/>
      </c>
      <c r="J16" s="21" t="str">
        <f t="shared" si="2"/>
        <v/>
      </c>
    </row>
    <row r="17" spans="1:10" ht="29.25" customHeight="1" x14ac:dyDescent="0.2">
      <c r="A17" s="1" t="s">
        <v>576</v>
      </c>
      <c r="B17" s="11" t="s">
        <v>581</v>
      </c>
      <c r="C17" s="1" t="s">
        <v>582</v>
      </c>
      <c r="D17" s="20" t="str">
        <f t="shared" si="1"/>
        <v/>
      </c>
      <c r="E17" s="20" t="str">
        <f t="shared" si="1"/>
        <v/>
      </c>
      <c r="F17" s="20" t="str">
        <f t="shared" si="1"/>
        <v/>
      </c>
      <c r="G17" s="20" t="str">
        <f t="shared" si="1"/>
        <v/>
      </c>
      <c r="H17" s="20" t="str">
        <f t="shared" si="1"/>
        <v/>
      </c>
      <c r="I17" s="20" t="str">
        <f t="shared" si="1"/>
        <v/>
      </c>
      <c r="J17" s="21" t="str">
        <f t="shared" si="2"/>
        <v/>
      </c>
    </row>
    <row r="18" spans="1:10" ht="29.25" customHeight="1" x14ac:dyDescent="0.2">
      <c r="A18" s="1" t="s">
        <v>576</v>
      </c>
      <c r="B18" s="11" t="s">
        <v>583</v>
      </c>
      <c r="C18" s="1" t="s">
        <v>584</v>
      </c>
      <c r="D18" s="20" t="str">
        <f t="shared" si="1"/>
        <v/>
      </c>
      <c r="E18" s="20" t="str">
        <f t="shared" si="1"/>
        <v/>
      </c>
      <c r="F18" s="20" t="str">
        <f t="shared" si="1"/>
        <v/>
      </c>
      <c r="G18" s="20" t="str">
        <f t="shared" si="1"/>
        <v/>
      </c>
      <c r="H18" s="20" t="str">
        <f t="shared" si="1"/>
        <v/>
      </c>
      <c r="I18" s="20" t="str">
        <f t="shared" si="1"/>
        <v/>
      </c>
      <c r="J18" s="21" t="str">
        <f t="shared" si="2"/>
        <v/>
      </c>
    </row>
    <row r="19" spans="1:10" ht="29.25" customHeight="1" x14ac:dyDescent="0.2">
      <c r="A19" s="1" t="s">
        <v>576</v>
      </c>
      <c r="B19" s="11" t="s">
        <v>585</v>
      </c>
      <c r="C19" s="1" t="s">
        <v>586</v>
      </c>
      <c r="D19" s="20" t="str">
        <f t="shared" si="1"/>
        <v/>
      </c>
      <c r="E19" s="20" t="str">
        <f t="shared" si="1"/>
        <v/>
      </c>
      <c r="F19" s="20" t="str">
        <f t="shared" si="1"/>
        <v/>
      </c>
      <c r="G19" s="20" t="str">
        <f t="shared" si="1"/>
        <v/>
      </c>
      <c r="H19" s="20" t="str">
        <f t="shared" si="1"/>
        <v/>
      </c>
      <c r="I19" s="20" t="str">
        <f t="shared" si="1"/>
        <v/>
      </c>
      <c r="J19" s="21" t="str">
        <f t="shared" si="2"/>
        <v/>
      </c>
    </row>
    <row r="20" spans="1:10" ht="29.25" customHeight="1" x14ac:dyDescent="0.2">
      <c r="A20" s="1" t="s">
        <v>587</v>
      </c>
      <c r="B20" s="11" t="s">
        <v>588</v>
      </c>
      <c r="C20" s="1" t="s">
        <v>589</v>
      </c>
      <c r="D20" s="20" t="str">
        <f t="shared" si="1"/>
        <v/>
      </c>
      <c r="E20" s="20" t="str">
        <f t="shared" si="1"/>
        <v/>
      </c>
      <c r="F20" s="20" t="str">
        <f t="shared" si="1"/>
        <v/>
      </c>
      <c r="G20" s="20" t="str">
        <f t="shared" si="1"/>
        <v/>
      </c>
      <c r="H20" s="20" t="str">
        <f t="shared" si="1"/>
        <v/>
      </c>
      <c r="I20" s="20" t="str">
        <f t="shared" si="1"/>
        <v/>
      </c>
      <c r="J20" s="21" t="str">
        <f t="shared" si="2"/>
        <v/>
      </c>
    </row>
    <row r="21" spans="1:10" ht="29.25" customHeight="1" x14ac:dyDescent="0.2">
      <c r="A21" s="1" t="s">
        <v>587</v>
      </c>
      <c r="B21" s="11" t="s">
        <v>590</v>
      </c>
      <c r="C21" s="1" t="s">
        <v>591</v>
      </c>
      <c r="D21" s="20" t="str">
        <f t="shared" si="1"/>
        <v/>
      </c>
      <c r="E21" s="20" t="str">
        <f t="shared" si="1"/>
        <v/>
      </c>
      <c r="F21" s="20" t="str">
        <f t="shared" si="1"/>
        <v/>
      </c>
      <c r="G21" s="20" t="str">
        <f t="shared" si="1"/>
        <v/>
      </c>
      <c r="H21" s="20" t="str">
        <f t="shared" si="1"/>
        <v/>
      </c>
      <c r="I21" s="20" t="str">
        <f t="shared" si="1"/>
        <v/>
      </c>
      <c r="J21" s="21" t="str">
        <f t="shared" si="2"/>
        <v/>
      </c>
    </row>
    <row r="22" spans="1:10" ht="29.25" customHeight="1" x14ac:dyDescent="0.2">
      <c r="A22" s="1" t="s">
        <v>587</v>
      </c>
      <c r="B22" s="11" t="s">
        <v>592</v>
      </c>
      <c r="C22" s="1" t="s">
        <v>593</v>
      </c>
      <c r="D22" s="20" t="str">
        <f t="shared" ref="D22:I26" si="3">IFERROR(AVERAGEIFS(INDEX($D$43:$X$92,0,MATCH($B22,$D$41:$X$41,0)),$C$43:$C$92,D$4),"")</f>
        <v/>
      </c>
      <c r="E22" s="20" t="str">
        <f t="shared" si="3"/>
        <v/>
      </c>
      <c r="F22" s="20" t="str">
        <f t="shared" si="3"/>
        <v/>
      </c>
      <c r="G22" s="20" t="str">
        <f t="shared" si="3"/>
        <v/>
      </c>
      <c r="H22" s="20" t="str">
        <f t="shared" si="3"/>
        <v/>
      </c>
      <c r="I22" s="20" t="str">
        <f t="shared" si="3"/>
        <v/>
      </c>
      <c r="J22" s="21" t="str">
        <f t="shared" si="2"/>
        <v/>
      </c>
    </row>
    <row r="23" spans="1:10" ht="29.25" customHeight="1" x14ac:dyDescent="0.2">
      <c r="A23" s="1" t="s">
        <v>587</v>
      </c>
      <c r="B23" s="11" t="s">
        <v>594</v>
      </c>
      <c r="C23" s="1" t="s">
        <v>595</v>
      </c>
      <c r="D23" s="20" t="str">
        <f t="shared" si="3"/>
        <v/>
      </c>
      <c r="E23" s="20" t="str">
        <f t="shared" si="3"/>
        <v/>
      </c>
      <c r="F23" s="20" t="str">
        <f t="shared" si="3"/>
        <v/>
      </c>
      <c r="G23" s="20" t="str">
        <f t="shared" si="3"/>
        <v/>
      </c>
      <c r="H23" s="20" t="str">
        <f t="shared" si="3"/>
        <v/>
      </c>
      <c r="I23" s="20" t="str">
        <f t="shared" si="3"/>
        <v/>
      </c>
      <c r="J23" s="21" t="str">
        <f t="shared" si="2"/>
        <v/>
      </c>
    </row>
    <row r="24" spans="1:10" ht="29.25" customHeight="1" x14ac:dyDescent="0.2">
      <c r="A24" s="1" t="s">
        <v>587</v>
      </c>
      <c r="B24" s="11" t="s">
        <v>596</v>
      </c>
      <c r="C24" s="1" t="s">
        <v>597</v>
      </c>
      <c r="D24" s="20" t="str">
        <f t="shared" si="3"/>
        <v/>
      </c>
      <c r="E24" s="20" t="str">
        <f t="shared" si="3"/>
        <v/>
      </c>
      <c r="F24" s="20" t="str">
        <f t="shared" si="3"/>
        <v/>
      </c>
      <c r="G24" s="20" t="str">
        <f t="shared" si="3"/>
        <v/>
      </c>
      <c r="H24" s="20" t="str">
        <f t="shared" si="3"/>
        <v/>
      </c>
      <c r="I24" s="20" t="str">
        <f t="shared" si="3"/>
        <v/>
      </c>
      <c r="J24" s="21" t="str">
        <f t="shared" si="2"/>
        <v/>
      </c>
    </row>
    <row r="25" spans="1:10" ht="29.25" customHeight="1" x14ac:dyDescent="0.2">
      <c r="A25" s="1" t="s">
        <v>587</v>
      </c>
      <c r="B25" s="11" t="s">
        <v>598</v>
      </c>
      <c r="C25" s="1" t="s">
        <v>599</v>
      </c>
      <c r="D25" s="20" t="str">
        <f t="shared" si="3"/>
        <v/>
      </c>
      <c r="E25" s="20" t="str">
        <f t="shared" si="3"/>
        <v/>
      </c>
      <c r="F25" s="20" t="str">
        <f t="shared" si="3"/>
        <v/>
      </c>
      <c r="G25" s="20" t="str">
        <f t="shared" si="3"/>
        <v/>
      </c>
      <c r="H25" s="20" t="str">
        <f t="shared" si="3"/>
        <v/>
      </c>
      <c r="I25" s="20" t="str">
        <f t="shared" si="3"/>
        <v/>
      </c>
      <c r="J25" s="21" t="str">
        <f t="shared" si="2"/>
        <v/>
      </c>
    </row>
    <row r="26" spans="1:10" ht="29.25" customHeight="1" x14ac:dyDescent="0.2">
      <c r="A26" s="1" t="s">
        <v>587</v>
      </c>
      <c r="B26" s="11" t="s">
        <v>600</v>
      </c>
      <c r="C26" s="1" t="s">
        <v>601</v>
      </c>
      <c r="D26" s="20" t="str">
        <f t="shared" si="3"/>
        <v/>
      </c>
      <c r="E26" s="20" t="str">
        <f t="shared" si="3"/>
        <v/>
      </c>
      <c r="F26" s="20" t="str">
        <f t="shared" si="3"/>
        <v/>
      </c>
      <c r="G26" s="20" t="str">
        <f t="shared" si="3"/>
        <v/>
      </c>
      <c r="H26" s="20" t="str">
        <f t="shared" si="3"/>
        <v/>
      </c>
      <c r="I26" s="20" t="str">
        <f t="shared" si="3"/>
        <v/>
      </c>
      <c r="J26" s="21" t="str">
        <f t="shared" si="2"/>
        <v/>
      </c>
    </row>
    <row r="28" spans="1:10" ht="19.5" customHeight="1" x14ac:dyDescent="0.2">
      <c r="A28" s="6" t="s">
        <v>602</v>
      </c>
      <c r="B28" s="7"/>
      <c r="C28" s="7"/>
      <c r="D28" s="7"/>
      <c r="E28" s="7"/>
      <c r="F28" s="7"/>
      <c r="G28" s="7"/>
      <c r="H28" s="7"/>
      <c r="I28" s="7"/>
      <c r="J28" s="7"/>
    </row>
    <row r="29" spans="1:10" ht="28" x14ac:dyDescent="0.2">
      <c r="A29" s="2"/>
      <c r="B29" s="2" t="s">
        <v>603</v>
      </c>
      <c r="C29" s="2"/>
      <c r="D29" s="2" t="s">
        <v>436</v>
      </c>
      <c r="E29" s="2" t="s">
        <v>437</v>
      </c>
      <c r="F29" s="2" t="s">
        <v>438</v>
      </c>
      <c r="G29" s="2" t="s">
        <v>439</v>
      </c>
      <c r="H29" s="2" t="s">
        <v>440</v>
      </c>
      <c r="I29" s="2" t="s">
        <v>554</v>
      </c>
      <c r="J29" s="2" t="s">
        <v>390</v>
      </c>
    </row>
    <row r="30" spans="1:10" x14ac:dyDescent="0.2">
      <c r="A30" s="22" t="s">
        <v>556</v>
      </c>
      <c r="B30" s="1" t="s">
        <v>604</v>
      </c>
      <c r="C30" s="1"/>
      <c r="D30" s="23" t="str">
        <f t="shared" ref="D30:J33" si="4">IFERROR(AVERAGEIFS(D$6:D$26,$A$6:$A$26,$A30),"")</f>
        <v/>
      </c>
      <c r="E30" s="23" t="str">
        <f t="shared" si="4"/>
        <v/>
      </c>
      <c r="F30" s="23" t="str">
        <f t="shared" si="4"/>
        <v/>
      </c>
      <c r="G30" s="23" t="str">
        <f t="shared" si="4"/>
        <v/>
      </c>
      <c r="H30" s="23" t="str">
        <f t="shared" si="4"/>
        <v/>
      </c>
      <c r="I30" s="23" t="str">
        <f t="shared" si="4"/>
        <v/>
      </c>
      <c r="J30" s="23" t="str">
        <f t="shared" si="4"/>
        <v/>
      </c>
    </row>
    <row r="31" spans="1:10" x14ac:dyDescent="0.2">
      <c r="A31" s="22" t="s">
        <v>567</v>
      </c>
      <c r="B31" s="1" t="s">
        <v>605</v>
      </c>
      <c r="C31" s="1"/>
      <c r="D31" s="23" t="str">
        <f t="shared" si="4"/>
        <v/>
      </c>
      <c r="E31" s="23" t="str">
        <f t="shared" si="4"/>
        <v/>
      </c>
      <c r="F31" s="23" t="str">
        <f t="shared" si="4"/>
        <v/>
      </c>
      <c r="G31" s="23" t="str">
        <f t="shared" si="4"/>
        <v/>
      </c>
      <c r="H31" s="23" t="str">
        <f t="shared" si="4"/>
        <v/>
      </c>
      <c r="I31" s="23" t="str">
        <f t="shared" si="4"/>
        <v/>
      </c>
      <c r="J31" s="23" t="str">
        <f t="shared" si="4"/>
        <v/>
      </c>
    </row>
    <row r="32" spans="1:10" x14ac:dyDescent="0.2">
      <c r="A32" s="22" t="s">
        <v>576</v>
      </c>
      <c r="B32" s="1" t="s">
        <v>606</v>
      </c>
      <c r="C32" s="1"/>
      <c r="D32" s="23" t="str">
        <f t="shared" si="4"/>
        <v/>
      </c>
      <c r="E32" s="23" t="str">
        <f t="shared" si="4"/>
        <v/>
      </c>
      <c r="F32" s="23" t="str">
        <f t="shared" si="4"/>
        <v/>
      </c>
      <c r="G32" s="23" t="str">
        <f t="shared" si="4"/>
        <v/>
      </c>
      <c r="H32" s="23" t="str">
        <f t="shared" si="4"/>
        <v/>
      </c>
      <c r="I32" s="23" t="str">
        <f t="shared" si="4"/>
        <v/>
      </c>
      <c r="J32" s="23" t="str">
        <f t="shared" si="4"/>
        <v/>
      </c>
    </row>
    <row r="33" spans="1:24" x14ac:dyDescent="0.2">
      <c r="A33" s="22" t="s">
        <v>587</v>
      </c>
      <c r="B33" s="1" t="s">
        <v>607</v>
      </c>
      <c r="C33" s="1"/>
      <c r="D33" s="23" t="str">
        <f t="shared" si="4"/>
        <v/>
      </c>
      <c r="E33" s="23" t="str">
        <f t="shared" si="4"/>
        <v/>
      </c>
      <c r="F33" s="23" t="str">
        <f t="shared" si="4"/>
        <v/>
      </c>
      <c r="G33" s="23" t="str">
        <f t="shared" si="4"/>
        <v/>
      </c>
      <c r="H33" s="23" t="str">
        <f t="shared" si="4"/>
        <v/>
      </c>
      <c r="I33" s="23" t="str">
        <f t="shared" si="4"/>
        <v/>
      </c>
      <c r="J33" s="23" t="str">
        <f t="shared" si="4"/>
        <v/>
      </c>
    </row>
    <row r="34" spans="1:24" x14ac:dyDescent="0.2">
      <c r="B34" s="11" t="s">
        <v>608</v>
      </c>
      <c r="C34" s="1"/>
      <c r="D34" s="24" t="str">
        <f t="shared" ref="D34:J34" si="5">IFERROR(AVERAGEIFS(D$6:D$26,$A$6:$A$26,"&lt;&gt;Wave 1"),"")</f>
        <v/>
      </c>
      <c r="E34" s="24" t="str">
        <f t="shared" si="5"/>
        <v/>
      </c>
      <c r="F34" s="24" t="str">
        <f t="shared" si="5"/>
        <v/>
      </c>
      <c r="G34" s="24" t="str">
        <f t="shared" si="5"/>
        <v/>
      </c>
      <c r="H34" s="24" t="str">
        <f t="shared" si="5"/>
        <v/>
      </c>
      <c r="I34" s="24" t="str">
        <f t="shared" si="5"/>
        <v/>
      </c>
      <c r="J34" s="24" t="str">
        <f t="shared" si="5"/>
        <v/>
      </c>
    </row>
    <row r="35" spans="1:24" ht="42" customHeight="1" x14ac:dyDescent="0.2">
      <c r="B35" s="1" t="s">
        <v>609</v>
      </c>
      <c r="C35" s="1"/>
      <c r="D35" s="25" t="str">
        <f t="shared" ref="D35:J35" si="6">IFERROR(INDEX($B$6:$B$26,MATCH(MAX(D$6:D$26),D$6:D$26,0)),"")</f>
        <v/>
      </c>
      <c r="E35" s="25" t="str">
        <f t="shared" si="6"/>
        <v/>
      </c>
      <c r="F35" s="25" t="str">
        <f t="shared" si="6"/>
        <v/>
      </c>
      <c r="G35" s="25" t="str">
        <f t="shared" si="6"/>
        <v/>
      </c>
      <c r="H35" s="25" t="str">
        <f t="shared" si="6"/>
        <v/>
      </c>
      <c r="I35" s="25" t="str">
        <f t="shared" si="6"/>
        <v/>
      </c>
      <c r="J35" s="25" t="str">
        <f t="shared" si="6"/>
        <v/>
      </c>
    </row>
    <row r="36" spans="1:24" ht="55.5" customHeight="1" x14ac:dyDescent="0.2">
      <c r="B36" s="11" t="s">
        <v>610</v>
      </c>
      <c r="C36" s="1"/>
      <c r="D36" s="26" t="str">
        <f t="shared" ref="D36:J36" si="7">IF(OR(D30="",D34=""),"",IF(D34-D30&gt;=0.5,"Acknowledge: values later waves more",IF(D30-D34&gt;=0.5,"Lead with Wave 1","Mixed: cover both")))</f>
        <v/>
      </c>
      <c r="E36" s="26" t="str">
        <f t="shared" si="7"/>
        <v/>
      </c>
      <c r="F36" s="26" t="str">
        <f t="shared" si="7"/>
        <v/>
      </c>
      <c r="G36" s="26" t="str">
        <f t="shared" si="7"/>
        <v/>
      </c>
      <c r="H36" s="26" t="str">
        <f t="shared" si="7"/>
        <v/>
      </c>
      <c r="I36" s="26" t="str">
        <f t="shared" si="7"/>
        <v/>
      </c>
      <c r="J36" s="26" t="str">
        <f t="shared" si="7"/>
        <v/>
      </c>
    </row>
    <row r="39" spans="1:24" ht="19.5" customHeight="1" x14ac:dyDescent="0.2">
      <c r="A39" s="6" t="s">
        <v>611</v>
      </c>
      <c r="B39" s="7"/>
      <c r="C39" s="7"/>
      <c r="D39" s="7"/>
      <c r="E39" s="7"/>
      <c r="F39" s="7"/>
      <c r="G39" s="7"/>
      <c r="H39" s="7"/>
      <c r="I39" s="7"/>
      <c r="J39" s="7"/>
      <c r="K39" s="7"/>
      <c r="L39" s="7"/>
      <c r="M39" s="7"/>
      <c r="N39" s="7"/>
      <c r="O39" s="7"/>
      <c r="P39" s="7"/>
      <c r="Q39" s="7"/>
      <c r="R39" s="7"/>
      <c r="S39" s="7"/>
      <c r="T39" s="7"/>
      <c r="U39" s="7"/>
      <c r="V39" s="7"/>
      <c r="W39" s="7"/>
      <c r="X39" s="7"/>
    </row>
    <row r="40" spans="1:24" ht="168" x14ac:dyDescent="0.2">
      <c r="A40" s="16" t="s">
        <v>612</v>
      </c>
    </row>
    <row r="41" spans="1:24" ht="54" customHeight="1" x14ac:dyDescent="0.2">
      <c r="A41" s="2" t="s">
        <v>613</v>
      </c>
      <c r="B41" s="2" t="s">
        <v>614</v>
      </c>
      <c r="C41" s="2" t="s">
        <v>615</v>
      </c>
      <c r="D41" s="2" t="s">
        <v>557</v>
      </c>
      <c r="E41" s="2" t="s">
        <v>559</v>
      </c>
      <c r="F41" s="2" t="s">
        <v>561</v>
      </c>
      <c r="G41" s="2" t="s">
        <v>563</v>
      </c>
      <c r="H41" s="2" t="s">
        <v>565</v>
      </c>
      <c r="I41" s="2" t="s">
        <v>568</v>
      </c>
      <c r="J41" s="2" t="s">
        <v>570</v>
      </c>
      <c r="K41" s="2" t="s">
        <v>572</v>
      </c>
      <c r="L41" s="2" t="s">
        <v>574</v>
      </c>
      <c r="M41" s="2" t="s">
        <v>577</v>
      </c>
      <c r="N41" s="2" t="s">
        <v>579</v>
      </c>
      <c r="O41" s="2" t="s">
        <v>581</v>
      </c>
      <c r="P41" s="2" t="s">
        <v>583</v>
      </c>
      <c r="Q41" s="2" t="s">
        <v>585</v>
      </c>
      <c r="R41" s="2" t="s">
        <v>588</v>
      </c>
      <c r="S41" s="2" t="s">
        <v>590</v>
      </c>
      <c r="T41" s="2" t="s">
        <v>592</v>
      </c>
      <c r="U41" s="2" t="s">
        <v>594</v>
      </c>
      <c r="V41" s="2" t="s">
        <v>596</v>
      </c>
      <c r="W41" s="2" t="s">
        <v>598</v>
      </c>
      <c r="X41" s="2" t="s">
        <v>600</v>
      </c>
    </row>
    <row r="42" spans="1:24" x14ac:dyDescent="0.2">
      <c r="A42" s="27" t="s">
        <v>616</v>
      </c>
      <c r="B42" s="27" t="s">
        <v>617</v>
      </c>
      <c r="C42" s="27" t="s">
        <v>439</v>
      </c>
      <c r="D42" s="28">
        <v>3</v>
      </c>
      <c r="E42" s="28">
        <v>3</v>
      </c>
      <c r="F42" s="28">
        <v>2</v>
      </c>
      <c r="G42" s="28">
        <v>3</v>
      </c>
      <c r="H42" s="28">
        <v>2</v>
      </c>
      <c r="I42" s="28">
        <v>1</v>
      </c>
      <c r="J42" s="28">
        <v>1</v>
      </c>
      <c r="K42" s="28">
        <v>1</v>
      </c>
      <c r="L42" s="28">
        <v>0</v>
      </c>
      <c r="M42" s="28">
        <v>1</v>
      </c>
      <c r="N42" s="28">
        <v>3</v>
      </c>
      <c r="O42" s="28">
        <v>0</v>
      </c>
      <c r="P42" s="28">
        <v>1</v>
      </c>
      <c r="Q42" s="28">
        <v>3</v>
      </c>
      <c r="R42" s="28">
        <v>3</v>
      </c>
      <c r="S42" s="28">
        <v>2</v>
      </c>
      <c r="T42" s="28">
        <v>3</v>
      </c>
      <c r="U42" s="28">
        <v>1</v>
      </c>
      <c r="V42" s="28">
        <v>1</v>
      </c>
      <c r="W42" s="28">
        <v>0</v>
      </c>
      <c r="X42" s="28">
        <v>1</v>
      </c>
    </row>
    <row r="43" spans="1:24" x14ac:dyDescent="0.2">
      <c r="A43" s="29"/>
      <c r="B43" s="29"/>
      <c r="C43" s="29"/>
      <c r="D43" s="30"/>
      <c r="E43" s="30"/>
      <c r="F43" s="30"/>
      <c r="G43" s="30"/>
      <c r="H43" s="30"/>
      <c r="I43" s="30"/>
      <c r="J43" s="30"/>
      <c r="K43" s="30"/>
      <c r="L43" s="30"/>
      <c r="M43" s="30"/>
      <c r="N43" s="30"/>
      <c r="O43" s="30"/>
      <c r="P43" s="30"/>
      <c r="Q43" s="30"/>
      <c r="R43" s="30"/>
      <c r="S43" s="30"/>
      <c r="T43" s="30"/>
      <c r="U43" s="30"/>
      <c r="V43" s="30"/>
      <c r="W43" s="30"/>
      <c r="X43" s="30"/>
    </row>
    <row r="44" spans="1:24" x14ac:dyDescent="0.2">
      <c r="A44" s="29"/>
      <c r="B44" s="29"/>
      <c r="C44" s="29"/>
      <c r="D44" s="30"/>
      <c r="E44" s="30"/>
      <c r="F44" s="30"/>
      <c r="G44" s="30"/>
      <c r="H44" s="30"/>
      <c r="I44" s="30"/>
      <c r="J44" s="30"/>
      <c r="K44" s="30"/>
      <c r="L44" s="30"/>
      <c r="M44" s="30"/>
      <c r="N44" s="30"/>
      <c r="O44" s="30"/>
      <c r="P44" s="30"/>
      <c r="Q44" s="30"/>
      <c r="R44" s="30"/>
      <c r="S44" s="30"/>
      <c r="T44" s="30"/>
      <c r="U44" s="30"/>
      <c r="V44" s="30"/>
      <c r="W44" s="30"/>
      <c r="X44" s="30"/>
    </row>
    <row r="45" spans="1:24" x14ac:dyDescent="0.2">
      <c r="A45" s="29"/>
      <c r="B45" s="29"/>
      <c r="C45" s="29"/>
      <c r="D45" s="30"/>
      <c r="E45" s="30"/>
      <c r="F45" s="30"/>
      <c r="G45" s="30"/>
      <c r="H45" s="30"/>
      <c r="I45" s="30"/>
      <c r="J45" s="30"/>
      <c r="K45" s="30"/>
      <c r="L45" s="30"/>
      <c r="M45" s="30"/>
      <c r="N45" s="30"/>
      <c r="O45" s="30"/>
      <c r="P45" s="30"/>
      <c r="Q45" s="30"/>
      <c r="R45" s="30"/>
      <c r="S45" s="30"/>
      <c r="T45" s="30"/>
      <c r="U45" s="30"/>
      <c r="V45" s="30"/>
      <c r="W45" s="30"/>
      <c r="X45" s="30"/>
    </row>
    <row r="46" spans="1:24" x14ac:dyDescent="0.2">
      <c r="A46" s="29"/>
      <c r="B46" s="29"/>
      <c r="C46" s="29"/>
      <c r="D46" s="30"/>
      <c r="E46" s="30"/>
      <c r="F46" s="30"/>
      <c r="G46" s="30"/>
      <c r="H46" s="30"/>
      <c r="I46" s="30"/>
      <c r="J46" s="30"/>
      <c r="K46" s="30"/>
      <c r="L46" s="30"/>
      <c r="M46" s="30"/>
      <c r="N46" s="30"/>
      <c r="O46" s="30"/>
      <c r="P46" s="30"/>
      <c r="Q46" s="30"/>
      <c r="R46" s="30"/>
      <c r="S46" s="30"/>
      <c r="T46" s="30"/>
      <c r="U46" s="30"/>
      <c r="V46" s="30"/>
      <c r="W46" s="30"/>
      <c r="X46" s="30"/>
    </row>
    <row r="47" spans="1:24" x14ac:dyDescent="0.2">
      <c r="A47" s="29"/>
      <c r="B47" s="29"/>
      <c r="C47" s="29"/>
      <c r="D47" s="30"/>
      <c r="E47" s="30"/>
      <c r="F47" s="30"/>
      <c r="G47" s="30"/>
      <c r="H47" s="30"/>
      <c r="I47" s="30"/>
      <c r="J47" s="30"/>
      <c r="K47" s="30"/>
      <c r="L47" s="30"/>
      <c r="M47" s="30"/>
      <c r="N47" s="30"/>
      <c r="O47" s="30"/>
      <c r="P47" s="30"/>
      <c r="Q47" s="30"/>
      <c r="R47" s="30"/>
      <c r="S47" s="30"/>
      <c r="T47" s="30"/>
      <c r="U47" s="30"/>
      <c r="V47" s="30"/>
      <c r="W47" s="30"/>
      <c r="X47" s="30"/>
    </row>
    <row r="48" spans="1:24" x14ac:dyDescent="0.2">
      <c r="A48" s="29"/>
      <c r="B48" s="29"/>
      <c r="C48" s="29"/>
      <c r="D48" s="30"/>
      <c r="E48" s="30"/>
      <c r="F48" s="30"/>
      <c r="G48" s="30"/>
      <c r="H48" s="30"/>
      <c r="I48" s="30"/>
      <c r="J48" s="30"/>
      <c r="K48" s="30"/>
      <c r="L48" s="30"/>
      <c r="M48" s="30"/>
      <c r="N48" s="30"/>
      <c r="O48" s="30"/>
      <c r="P48" s="30"/>
      <c r="Q48" s="30"/>
      <c r="R48" s="30"/>
      <c r="S48" s="30"/>
      <c r="T48" s="30"/>
      <c r="U48" s="30"/>
      <c r="V48" s="30"/>
      <c r="W48" s="30"/>
      <c r="X48" s="30"/>
    </row>
    <row r="49" spans="1:24" x14ac:dyDescent="0.2">
      <c r="A49" s="29"/>
      <c r="B49" s="29"/>
      <c r="C49" s="29"/>
      <c r="D49" s="30"/>
      <c r="E49" s="30"/>
      <c r="F49" s="30"/>
      <c r="G49" s="30"/>
      <c r="H49" s="30"/>
      <c r="I49" s="30"/>
      <c r="J49" s="30"/>
      <c r="K49" s="30"/>
      <c r="L49" s="30"/>
      <c r="M49" s="30"/>
      <c r="N49" s="30"/>
      <c r="O49" s="30"/>
      <c r="P49" s="30"/>
      <c r="Q49" s="30"/>
      <c r="R49" s="30"/>
      <c r="S49" s="30"/>
      <c r="T49" s="30"/>
      <c r="U49" s="30"/>
      <c r="V49" s="30"/>
      <c r="W49" s="30"/>
      <c r="X49" s="30"/>
    </row>
    <row r="50" spans="1:24" x14ac:dyDescent="0.2">
      <c r="A50" s="29"/>
      <c r="B50" s="29"/>
      <c r="C50" s="29"/>
      <c r="D50" s="30"/>
      <c r="E50" s="30"/>
      <c r="F50" s="30"/>
      <c r="G50" s="30"/>
      <c r="H50" s="30"/>
      <c r="I50" s="30"/>
      <c r="J50" s="30"/>
      <c r="K50" s="30"/>
      <c r="L50" s="30"/>
      <c r="M50" s="30"/>
      <c r="N50" s="30"/>
      <c r="O50" s="30"/>
      <c r="P50" s="30"/>
      <c r="Q50" s="30"/>
      <c r="R50" s="30"/>
      <c r="S50" s="30"/>
      <c r="T50" s="30"/>
      <c r="U50" s="30"/>
      <c r="V50" s="30"/>
      <c r="W50" s="30"/>
      <c r="X50" s="30"/>
    </row>
    <row r="51" spans="1:24" x14ac:dyDescent="0.2">
      <c r="A51" s="29"/>
      <c r="B51" s="29"/>
      <c r="C51" s="29"/>
      <c r="D51" s="30"/>
      <c r="E51" s="30"/>
      <c r="F51" s="30"/>
      <c r="G51" s="30"/>
      <c r="H51" s="30"/>
      <c r="I51" s="30"/>
      <c r="J51" s="30"/>
      <c r="K51" s="30"/>
      <c r="L51" s="30"/>
      <c r="M51" s="30"/>
      <c r="N51" s="30"/>
      <c r="O51" s="30"/>
      <c r="P51" s="30"/>
      <c r="Q51" s="30"/>
      <c r="R51" s="30"/>
      <c r="S51" s="30"/>
      <c r="T51" s="30"/>
      <c r="U51" s="30"/>
      <c r="V51" s="30"/>
      <c r="W51" s="30"/>
      <c r="X51" s="30"/>
    </row>
    <row r="52" spans="1:24" x14ac:dyDescent="0.2">
      <c r="A52" s="29"/>
      <c r="B52" s="29"/>
      <c r="C52" s="29"/>
      <c r="D52" s="30"/>
      <c r="E52" s="30"/>
      <c r="F52" s="30"/>
      <c r="G52" s="30"/>
      <c r="H52" s="30"/>
      <c r="I52" s="30"/>
      <c r="J52" s="30"/>
      <c r="K52" s="30"/>
      <c r="L52" s="30"/>
      <c r="M52" s="30"/>
      <c r="N52" s="30"/>
      <c r="O52" s="30"/>
      <c r="P52" s="30"/>
      <c r="Q52" s="30"/>
      <c r="R52" s="30"/>
      <c r="S52" s="30"/>
      <c r="T52" s="30"/>
      <c r="U52" s="30"/>
      <c r="V52" s="30"/>
      <c r="W52" s="30"/>
      <c r="X52" s="30"/>
    </row>
    <row r="53" spans="1:24" x14ac:dyDescent="0.2">
      <c r="A53" s="29"/>
      <c r="B53" s="29"/>
      <c r="C53" s="29"/>
      <c r="D53" s="30"/>
      <c r="E53" s="30"/>
      <c r="F53" s="30"/>
      <c r="G53" s="30"/>
      <c r="H53" s="30"/>
      <c r="I53" s="30"/>
      <c r="J53" s="30"/>
      <c r="K53" s="30"/>
      <c r="L53" s="30"/>
      <c r="M53" s="30"/>
      <c r="N53" s="30"/>
      <c r="O53" s="30"/>
      <c r="P53" s="30"/>
      <c r="Q53" s="30"/>
      <c r="R53" s="30"/>
      <c r="S53" s="30"/>
      <c r="T53" s="30"/>
      <c r="U53" s="30"/>
      <c r="V53" s="30"/>
      <c r="W53" s="30"/>
      <c r="X53" s="30"/>
    </row>
    <row r="54" spans="1:24" x14ac:dyDescent="0.2">
      <c r="A54" s="29"/>
      <c r="B54" s="29"/>
      <c r="C54" s="29"/>
      <c r="D54" s="30"/>
      <c r="E54" s="30"/>
      <c r="F54" s="30"/>
      <c r="G54" s="30"/>
      <c r="H54" s="30"/>
      <c r="I54" s="30"/>
      <c r="J54" s="30"/>
      <c r="K54" s="30"/>
      <c r="L54" s="30"/>
      <c r="M54" s="30"/>
      <c r="N54" s="30"/>
      <c r="O54" s="30"/>
      <c r="P54" s="30"/>
      <c r="Q54" s="30"/>
      <c r="R54" s="30"/>
      <c r="S54" s="30"/>
      <c r="T54" s="30"/>
      <c r="U54" s="30"/>
      <c r="V54" s="30"/>
      <c r="W54" s="30"/>
      <c r="X54" s="30"/>
    </row>
    <row r="55" spans="1:24" x14ac:dyDescent="0.2">
      <c r="A55" s="29"/>
      <c r="B55" s="29"/>
      <c r="C55" s="29"/>
      <c r="D55" s="30"/>
      <c r="E55" s="30"/>
      <c r="F55" s="30"/>
      <c r="G55" s="30"/>
      <c r="H55" s="30"/>
      <c r="I55" s="30"/>
      <c r="J55" s="30"/>
      <c r="K55" s="30"/>
      <c r="L55" s="30"/>
      <c r="M55" s="30"/>
      <c r="N55" s="30"/>
      <c r="O55" s="30"/>
      <c r="P55" s="30"/>
      <c r="Q55" s="30"/>
      <c r="R55" s="30"/>
      <c r="S55" s="30"/>
      <c r="T55" s="30"/>
      <c r="U55" s="30"/>
      <c r="V55" s="30"/>
      <c r="W55" s="30"/>
      <c r="X55" s="30"/>
    </row>
    <row r="56" spans="1:24" x14ac:dyDescent="0.2">
      <c r="A56" s="29"/>
      <c r="B56" s="29"/>
      <c r="C56" s="29"/>
      <c r="D56" s="30"/>
      <c r="E56" s="30"/>
      <c r="F56" s="30"/>
      <c r="G56" s="30"/>
      <c r="H56" s="30"/>
      <c r="I56" s="30"/>
      <c r="J56" s="30"/>
      <c r="K56" s="30"/>
      <c r="L56" s="30"/>
      <c r="M56" s="30"/>
      <c r="N56" s="30"/>
      <c r="O56" s="30"/>
      <c r="P56" s="30"/>
      <c r="Q56" s="30"/>
      <c r="R56" s="30"/>
      <c r="S56" s="30"/>
      <c r="T56" s="30"/>
      <c r="U56" s="30"/>
      <c r="V56" s="30"/>
      <c r="W56" s="30"/>
      <c r="X56" s="30"/>
    </row>
    <row r="57" spans="1:24" x14ac:dyDescent="0.2">
      <c r="A57" s="29"/>
      <c r="B57" s="29"/>
      <c r="C57" s="29"/>
      <c r="D57" s="30"/>
      <c r="E57" s="30"/>
      <c r="F57" s="30"/>
      <c r="G57" s="30"/>
      <c r="H57" s="30"/>
      <c r="I57" s="30"/>
      <c r="J57" s="30"/>
      <c r="K57" s="30"/>
      <c r="L57" s="30"/>
      <c r="M57" s="30"/>
      <c r="N57" s="30"/>
      <c r="O57" s="30"/>
      <c r="P57" s="30"/>
      <c r="Q57" s="30"/>
      <c r="R57" s="30"/>
      <c r="S57" s="30"/>
      <c r="T57" s="30"/>
      <c r="U57" s="30"/>
      <c r="V57" s="30"/>
      <c r="W57" s="30"/>
      <c r="X57" s="30"/>
    </row>
    <row r="58" spans="1:24" x14ac:dyDescent="0.2">
      <c r="A58" s="29"/>
      <c r="B58" s="29"/>
      <c r="C58" s="29"/>
      <c r="D58" s="30"/>
      <c r="E58" s="30"/>
      <c r="F58" s="30"/>
      <c r="G58" s="30"/>
      <c r="H58" s="30"/>
      <c r="I58" s="30"/>
      <c r="J58" s="30"/>
      <c r="K58" s="30"/>
      <c r="L58" s="30"/>
      <c r="M58" s="30"/>
      <c r="N58" s="30"/>
      <c r="O58" s="30"/>
      <c r="P58" s="30"/>
      <c r="Q58" s="30"/>
      <c r="R58" s="30"/>
      <c r="S58" s="30"/>
      <c r="T58" s="30"/>
      <c r="U58" s="30"/>
      <c r="V58" s="30"/>
      <c r="W58" s="30"/>
      <c r="X58" s="30"/>
    </row>
    <row r="59" spans="1:24" x14ac:dyDescent="0.2">
      <c r="A59" s="29"/>
      <c r="B59" s="29"/>
      <c r="C59" s="29"/>
      <c r="D59" s="30"/>
      <c r="E59" s="30"/>
      <c r="F59" s="30"/>
      <c r="G59" s="30"/>
      <c r="H59" s="30"/>
      <c r="I59" s="30"/>
      <c r="J59" s="30"/>
      <c r="K59" s="30"/>
      <c r="L59" s="30"/>
      <c r="M59" s="30"/>
      <c r="N59" s="30"/>
      <c r="O59" s="30"/>
      <c r="P59" s="30"/>
      <c r="Q59" s="30"/>
      <c r="R59" s="30"/>
      <c r="S59" s="30"/>
      <c r="T59" s="30"/>
      <c r="U59" s="30"/>
      <c r="V59" s="30"/>
      <c r="W59" s="30"/>
      <c r="X59" s="30"/>
    </row>
    <row r="60" spans="1:24" x14ac:dyDescent="0.2">
      <c r="A60" s="29"/>
      <c r="B60" s="29"/>
      <c r="C60" s="29"/>
      <c r="D60" s="30"/>
      <c r="E60" s="30"/>
      <c r="F60" s="30"/>
      <c r="G60" s="30"/>
      <c r="H60" s="30"/>
      <c r="I60" s="30"/>
      <c r="J60" s="30"/>
      <c r="K60" s="30"/>
      <c r="L60" s="30"/>
      <c r="M60" s="30"/>
      <c r="N60" s="30"/>
      <c r="O60" s="30"/>
      <c r="P60" s="30"/>
      <c r="Q60" s="30"/>
      <c r="R60" s="30"/>
      <c r="S60" s="30"/>
      <c r="T60" s="30"/>
      <c r="U60" s="30"/>
      <c r="V60" s="30"/>
      <c r="W60" s="30"/>
      <c r="X60" s="30"/>
    </row>
    <row r="61" spans="1:24" x14ac:dyDescent="0.2">
      <c r="A61" s="29"/>
      <c r="B61" s="29"/>
      <c r="C61" s="29"/>
      <c r="D61" s="30"/>
      <c r="E61" s="30"/>
      <c r="F61" s="30"/>
      <c r="G61" s="30"/>
      <c r="H61" s="30"/>
      <c r="I61" s="30"/>
      <c r="J61" s="30"/>
      <c r="K61" s="30"/>
      <c r="L61" s="30"/>
      <c r="M61" s="30"/>
      <c r="N61" s="30"/>
      <c r="O61" s="30"/>
      <c r="P61" s="30"/>
      <c r="Q61" s="30"/>
      <c r="R61" s="30"/>
      <c r="S61" s="30"/>
      <c r="T61" s="30"/>
      <c r="U61" s="30"/>
      <c r="V61" s="30"/>
      <c r="W61" s="30"/>
      <c r="X61" s="30"/>
    </row>
    <row r="62" spans="1:24" x14ac:dyDescent="0.2">
      <c r="A62" s="29"/>
      <c r="B62" s="29"/>
      <c r="C62" s="29"/>
      <c r="D62" s="30"/>
      <c r="E62" s="30"/>
      <c r="F62" s="30"/>
      <c r="G62" s="30"/>
      <c r="H62" s="30"/>
      <c r="I62" s="30"/>
      <c r="J62" s="30"/>
      <c r="K62" s="30"/>
      <c r="L62" s="30"/>
      <c r="M62" s="30"/>
      <c r="N62" s="30"/>
      <c r="O62" s="30"/>
      <c r="P62" s="30"/>
      <c r="Q62" s="30"/>
      <c r="R62" s="30"/>
      <c r="S62" s="30"/>
      <c r="T62" s="30"/>
      <c r="U62" s="30"/>
      <c r="V62" s="30"/>
      <c r="W62" s="30"/>
      <c r="X62" s="30"/>
    </row>
    <row r="63" spans="1:24" x14ac:dyDescent="0.2">
      <c r="A63" s="29"/>
      <c r="B63" s="29"/>
      <c r="C63" s="29"/>
      <c r="D63" s="30"/>
      <c r="E63" s="30"/>
      <c r="F63" s="30"/>
      <c r="G63" s="30"/>
      <c r="H63" s="30"/>
      <c r="I63" s="30"/>
      <c r="J63" s="30"/>
      <c r="K63" s="30"/>
      <c r="L63" s="30"/>
      <c r="M63" s="30"/>
      <c r="N63" s="30"/>
      <c r="O63" s="30"/>
      <c r="P63" s="30"/>
      <c r="Q63" s="30"/>
      <c r="R63" s="30"/>
      <c r="S63" s="30"/>
      <c r="T63" s="30"/>
      <c r="U63" s="30"/>
      <c r="V63" s="30"/>
      <c r="W63" s="30"/>
      <c r="X63" s="30"/>
    </row>
    <row r="64" spans="1:24" x14ac:dyDescent="0.2">
      <c r="A64" s="29"/>
      <c r="B64" s="29"/>
      <c r="C64" s="29"/>
      <c r="D64" s="30"/>
      <c r="E64" s="30"/>
      <c r="F64" s="30"/>
      <c r="G64" s="30"/>
      <c r="H64" s="30"/>
      <c r="I64" s="30"/>
      <c r="J64" s="30"/>
      <c r="K64" s="30"/>
      <c r="L64" s="30"/>
      <c r="M64" s="30"/>
      <c r="N64" s="30"/>
      <c r="O64" s="30"/>
      <c r="P64" s="30"/>
      <c r="Q64" s="30"/>
      <c r="R64" s="30"/>
      <c r="S64" s="30"/>
      <c r="T64" s="30"/>
      <c r="U64" s="30"/>
      <c r="V64" s="30"/>
      <c r="W64" s="30"/>
      <c r="X64" s="30"/>
    </row>
    <row r="65" spans="1:24" x14ac:dyDescent="0.2">
      <c r="A65" s="29"/>
      <c r="B65" s="29"/>
      <c r="C65" s="29"/>
      <c r="D65" s="30"/>
      <c r="E65" s="30"/>
      <c r="F65" s="30"/>
      <c r="G65" s="30"/>
      <c r="H65" s="30"/>
      <c r="I65" s="30"/>
      <c r="J65" s="30"/>
      <c r="K65" s="30"/>
      <c r="L65" s="30"/>
      <c r="M65" s="30"/>
      <c r="N65" s="30"/>
      <c r="O65" s="30"/>
      <c r="P65" s="30"/>
      <c r="Q65" s="30"/>
      <c r="R65" s="30"/>
      <c r="S65" s="30"/>
      <c r="T65" s="30"/>
      <c r="U65" s="30"/>
      <c r="V65" s="30"/>
      <c r="W65" s="30"/>
      <c r="X65" s="30"/>
    </row>
    <row r="66" spans="1:24" x14ac:dyDescent="0.2">
      <c r="A66" s="29"/>
      <c r="B66" s="29"/>
      <c r="C66" s="29"/>
      <c r="D66" s="30"/>
      <c r="E66" s="30"/>
      <c r="F66" s="30"/>
      <c r="G66" s="30"/>
      <c r="H66" s="30"/>
      <c r="I66" s="30"/>
      <c r="J66" s="30"/>
      <c r="K66" s="30"/>
      <c r="L66" s="30"/>
      <c r="M66" s="30"/>
      <c r="N66" s="30"/>
      <c r="O66" s="30"/>
      <c r="P66" s="30"/>
      <c r="Q66" s="30"/>
      <c r="R66" s="30"/>
      <c r="S66" s="30"/>
      <c r="T66" s="30"/>
      <c r="U66" s="30"/>
      <c r="V66" s="30"/>
      <c r="W66" s="30"/>
      <c r="X66" s="30"/>
    </row>
    <row r="67" spans="1:24" x14ac:dyDescent="0.2">
      <c r="A67" s="29"/>
      <c r="B67" s="29"/>
      <c r="C67" s="29"/>
      <c r="D67" s="30"/>
      <c r="E67" s="30"/>
      <c r="F67" s="30"/>
      <c r="G67" s="30"/>
      <c r="H67" s="30"/>
      <c r="I67" s="30"/>
      <c r="J67" s="30"/>
      <c r="K67" s="30"/>
      <c r="L67" s="30"/>
      <c r="M67" s="30"/>
      <c r="N67" s="30"/>
      <c r="O67" s="30"/>
      <c r="P67" s="30"/>
      <c r="Q67" s="30"/>
      <c r="R67" s="30"/>
      <c r="S67" s="30"/>
      <c r="T67" s="30"/>
      <c r="U67" s="30"/>
      <c r="V67" s="30"/>
      <c r="W67" s="30"/>
      <c r="X67" s="30"/>
    </row>
    <row r="68" spans="1:24" x14ac:dyDescent="0.2">
      <c r="A68" s="29"/>
      <c r="B68" s="29"/>
      <c r="C68" s="29"/>
      <c r="D68" s="30"/>
      <c r="E68" s="30"/>
      <c r="F68" s="30"/>
      <c r="G68" s="30"/>
      <c r="H68" s="30"/>
      <c r="I68" s="30"/>
      <c r="J68" s="30"/>
      <c r="K68" s="30"/>
      <c r="L68" s="30"/>
      <c r="M68" s="30"/>
      <c r="N68" s="30"/>
      <c r="O68" s="30"/>
      <c r="P68" s="30"/>
      <c r="Q68" s="30"/>
      <c r="R68" s="30"/>
      <c r="S68" s="30"/>
      <c r="T68" s="30"/>
      <c r="U68" s="30"/>
      <c r="V68" s="30"/>
      <c r="W68" s="30"/>
      <c r="X68" s="30"/>
    </row>
    <row r="69" spans="1:24" x14ac:dyDescent="0.2">
      <c r="A69" s="29"/>
      <c r="B69" s="29"/>
      <c r="C69" s="29"/>
      <c r="D69" s="30"/>
      <c r="E69" s="30"/>
      <c r="F69" s="30"/>
      <c r="G69" s="30"/>
      <c r="H69" s="30"/>
      <c r="I69" s="30"/>
      <c r="J69" s="30"/>
      <c r="K69" s="30"/>
      <c r="L69" s="30"/>
      <c r="M69" s="30"/>
      <c r="N69" s="30"/>
      <c r="O69" s="30"/>
      <c r="P69" s="30"/>
      <c r="Q69" s="30"/>
      <c r="R69" s="30"/>
      <c r="S69" s="30"/>
      <c r="T69" s="30"/>
      <c r="U69" s="30"/>
      <c r="V69" s="30"/>
      <c r="W69" s="30"/>
      <c r="X69" s="30"/>
    </row>
    <row r="70" spans="1:24" x14ac:dyDescent="0.2">
      <c r="A70" s="29"/>
      <c r="B70" s="29"/>
      <c r="C70" s="29"/>
      <c r="D70" s="30"/>
      <c r="E70" s="30"/>
      <c r="F70" s="30"/>
      <c r="G70" s="30"/>
      <c r="H70" s="30"/>
      <c r="I70" s="30"/>
      <c r="J70" s="30"/>
      <c r="K70" s="30"/>
      <c r="L70" s="30"/>
      <c r="M70" s="30"/>
      <c r="N70" s="30"/>
      <c r="O70" s="30"/>
      <c r="P70" s="30"/>
      <c r="Q70" s="30"/>
      <c r="R70" s="30"/>
      <c r="S70" s="30"/>
      <c r="T70" s="30"/>
      <c r="U70" s="30"/>
      <c r="V70" s="30"/>
      <c r="W70" s="30"/>
      <c r="X70" s="30"/>
    </row>
    <row r="71" spans="1:24" x14ac:dyDescent="0.2">
      <c r="A71" s="29"/>
      <c r="B71" s="29"/>
      <c r="C71" s="29"/>
      <c r="D71" s="30"/>
      <c r="E71" s="30"/>
      <c r="F71" s="30"/>
      <c r="G71" s="30"/>
      <c r="H71" s="30"/>
      <c r="I71" s="30"/>
      <c r="J71" s="30"/>
      <c r="K71" s="30"/>
      <c r="L71" s="30"/>
      <c r="M71" s="30"/>
      <c r="N71" s="30"/>
      <c r="O71" s="30"/>
      <c r="P71" s="30"/>
      <c r="Q71" s="30"/>
      <c r="R71" s="30"/>
      <c r="S71" s="30"/>
      <c r="T71" s="30"/>
      <c r="U71" s="30"/>
      <c r="V71" s="30"/>
      <c r="W71" s="30"/>
      <c r="X71" s="30"/>
    </row>
    <row r="72" spans="1:24" x14ac:dyDescent="0.2">
      <c r="A72" s="29"/>
      <c r="B72" s="29"/>
      <c r="C72" s="29"/>
      <c r="D72" s="30"/>
      <c r="E72" s="30"/>
      <c r="F72" s="30"/>
      <c r="G72" s="30"/>
      <c r="H72" s="30"/>
      <c r="I72" s="30"/>
      <c r="J72" s="30"/>
      <c r="K72" s="30"/>
      <c r="L72" s="30"/>
      <c r="M72" s="30"/>
      <c r="N72" s="30"/>
      <c r="O72" s="30"/>
      <c r="P72" s="30"/>
      <c r="Q72" s="30"/>
      <c r="R72" s="30"/>
      <c r="S72" s="30"/>
      <c r="T72" s="30"/>
      <c r="U72" s="30"/>
      <c r="V72" s="30"/>
      <c r="W72" s="30"/>
      <c r="X72" s="30"/>
    </row>
    <row r="73" spans="1:24" x14ac:dyDescent="0.2">
      <c r="A73" s="29"/>
      <c r="B73" s="29"/>
      <c r="C73" s="29"/>
      <c r="D73" s="30"/>
      <c r="E73" s="30"/>
      <c r="F73" s="30"/>
      <c r="G73" s="30"/>
      <c r="H73" s="30"/>
      <c r="I73" s="30"/>
      <c r="J73" s="30"/>
      <c r="K73" s="30"/>
      <c r="L73" s="30"/>
      <c r="M73" s="30"/>
      <c r="N73" s="30"/>
      <c r="O73" s="30"/>
      <c r="P73" s="30"/>
      <c r="Q73" s="30"/>
      <c r="R73" s="30"/>
      <c r="S73" s="30"/>
      <c r="T73" s="30"/>
      <c r="U73" s="30"/>
      <c r="V73" s="30"/>
      <c r="W73" s="30"/>
      <c r="X73" s="30"/>
    </row>
    <row r="74" spans="1:24" x14ac:dyDescent="0.2">
      <c r="A74" s="29"/>
      <c r="B74" s="29"/>
      <c r="C74" s="29"/>
      <c r="D74" s="30"/>
      <c r="E74" s="30"/>
      <c r="F74" s="30"/>
      <c r="G74" s="30"/>
      <c r="H74" s="30"/>
      <c r="I74" s="30"/>
      <c r="J74" s="30"/>
      <c r="K74" s="30"/>
      <c r="L74" s="30"/>
      <c r="M74" s="30"/>
      <c r="N74" s="30"/>
      <c r="O74" s="30"/>
      <c r="P74" s="30"/>
      <c r="Q74" s="30"/>
      <c r="R74" s="30"/>
      <c r="S74" s="30"/>
      <c r="T74" s="30"/>
      <c r="U74" s="30"/>
      <c r="V74" s="30"/>
      <c r="W74" s="30"/>
      <c r="X74" s="30"/>
    </row>
    <row r="75" spans="1:24" x14ac:dyDescent="0.2">
      <c r="A75" s="29"/>
      <c r="B75" s="29"/>
      <c r="C75" s="29"/>
      <c r="D75" s="30"/>
      <c r="E75" s="30"/>
      <c r="F75" s="30"/>
      <c r="G75" s="30"/>
      <c r="H75" s="30"/>
      <c r="I75" s="30"/>
      <c r="J75" s="30"/>
      <c r="K75" s="30"/>
      <c r="L75" s="30"/>
      <c r="M75" s="30"/>
      <c r="N75" s="30"/>
      <c r="O75" s="30"/>
      <c r="P75" s="30"/>
      <c r="Q75" s="30"/>
      <c r="R75" s="30"/>
      <c r="S75" s="30"/>
      <c r="T75" s="30"/>
      <c r="U75" s="30"/>
      <c r="V75" s="30"/>
      <c r="W75" s="30"/>
      <c r="X75" s="30"/>
    </row>
    <row r="76" spans="1:24" x14ac:dyDescent="0.2">
      <c r="A76" s="29"/>
      <c r="B76" s="29"/>
      <c r="C76" s="29"/>
      <c r="D76" s="30"/>
      <c r="E76" s="30"/>
      <c r="F76" s="30"/>
      <c r="G76" s="30"/>
      <c r="H76" s="30"/>
      <c r="I76" s="30"/>
      <c r="J76" s="30"/>
      <c r="K76" s="30"/>
      <c r="L76" s="30"/>
      <c r="M76" s="30"/>
      <c r="N76" s="30"/>
      <c r="O76" s="30"/>
      <c r="P76" s="30"/>
      <c r="Q76" s="30"/>
      <c r="R76" s="30"/>
      <c r="S76" s="30"/>
      <c r="T76" s="30"/>
      <c r="U76" s="30"/>
      <c r="V76" s="30"/>
      <c r="W76" s="30"/>
      <c r="X76" s="30"/>
    </row>
    <row r="77" spans="1:24" x14ac:dyDescent="0.2">
      <c r="A77" s="29"/>
      <c r="B77" s="29"/>
      <c r="C77" s="29"/>
      <c r="D77" s="30"/>
      <c r="E77" s="30"/>
      <c r="F77" s="30"/>
      <c r="G77" s="30"/>
      <c r="H77" s="30"/>
      <c r="I77" s="30"/>
      <c r="J77" s="30"/>
      <c r="K77" s="30"/>
      <c r="L77" s="30"/>
      <c r="M77" s="30"/>
      <c r="N77" s="30"/>
      <c r="O77" s="30"/>
      <c r="P77" s="30"/>
      <c r="Q77" s="30"/>
      <c r="R77" s="30"/>
      <c r="S77" s="30"/>
      <c r="T77" s="30"/>
      <c r="U77" s="30"/>
      <c r="V77" s="30"/>
      <c r="W77" s="30"/>
      <c r="X77" s="30"/>
    </row>
    <row r="78" spans="1:24" x14ac:dyDescent="0.2">
      <c r="A78" s="29"/>
      <c r="B78" s="29"/>
      <c r="C78" s="29"/>
      <c r="D78" s="30"/>
      <c r="E78" s="30"/>
      <c r="F78" s="30"/>
      <c r="G78" s="30"/>
      <c r="H78" s="30"/>
      <c r="I78" s="30"/>
      <c r="J78" s="30"/>
      <c r="K78" s="30"/>
      <c r="L78" s="30"/>
      <c r="M78" s="30"/>
      <c r="N78" s="30"/>
      <c r="O78" s="30"/>
      <c r="P78" s="30"/>
      <c r="Q78" s="30"/>
      <c r="R78" s="30"/>
      <c r="S78" s="30"/>
      <c r="T78" s="30"/>
      <c r="U78" s="30"/>
      <c r="V78" s="30"/>
      <c r="W78" s="30"/>
      <c r="X78" s="30"/>
    </row>
    <row r="79" spans="1:24" x14ac:dyDescent="0.2">
      <c r="A79" s="29"/>
      <c r="B79" s="29"/>
      <c r="C79" s="29"/>
      <c r="D79" s="30"/>
      <c r="E79" s="30"/>
      <c r="F79" s="30"/>
      <c r="G79" s="30"/>
      <c r="H79" s="30"/>
      <c r="I79" s="30"/>
      <c r="J79" s="30"/>
      <c r="K79" s="30"/>
      <c r="L79" s="30"/>
      <c r="M79" s="30"/>
      <c r="N79" s="30"/>
      <c r="O79" s="30"/>
      <c r="P79" s="30"/>
      <c r="Q79" s="30"/>
      <c r="R79" s="30"/>
      <c r="S79" s="30"/>
      <c r="T79" s="30"/>
      <c r="U79" s="30"/>
      <c r="V79" s="30"/>
      <c r="W79" s="30"/>
      <c r="X79" s="30"/>
    </row>
    <row r="80" spans="1:24" x14ac:dyDescent="0.2">
      <c r="A80" s="29"/>
      <c r="B80" s="29"/>
      <c r="C80" s="29"/>
      <c r="D80" s="30"/>
      <c r="E80" s="30"/>
      <c r="F80" s="30"/>
      <c r="G80" s="30"/>
      <c r="H80" s="30"/>
      <c r="I80" s="30"/>
      <c r="J80" s="30"/>
      <c r="K80" s="30"/>
      <c r="L80" s="30"/>
      <c r="M80" s="30"/>
      <c r="N80" s="30"/>
      <c r="O80" s="30"/>
      <c r="P80" s="30"/>
      <c r="Q80" s="30"/>
      <c r="R80" s="30"/>
      <c r="S80" s="30"/>
      <c r="T80" s="30"/>
      <c r="U80" s="30"/>
      <c r="V80" s="30"/>
      <c r="W80" s="30"/>
      <c r="X80" s="30"/>
    </row>
    <row r="81" spans="1:24" x14ac:dyDescent="0.2">
      <c r="A81" s="29"/>
      <c r="B81" s="29"/>
      <c r="C81" s="29"/>
      <c r="D81" s="30"/>
      <c r="E81" s="30"/>
      <c r="F81" s="30"/>
      <c r="G81" s="30"/>
      <c r="H81" s="30"/>
      <c r="I81" s="30"/>
      <c r="J81" s="30"/>
      <c r="K81" s="30"/>
      <c r="L81" s="30"/>
      <c r="M81" s="30"/>
      <c r="N81" s="30"/>
      <c r="O81" s="30"/>
      <c r="P81" s="30"/>
      <c r="Q81" s="30"/>
      <c r="R81" s="30"/>
      <c r="S81" s="30"/>
      <c r="T81" s="30"/>
      <c r="U81" s="30"/>
      <c r="V81" s="30"/>
      <c r="W81" s="30"/>
      <c r="X81" s="30"/>
    </row>
    <row r="82" spans="1:24" x14ac:dyDescent="0.2">
      <c r="A82" s="29"/>
      <c r="B82" s="29"/>
      <c r="C82" s="29"/>
      <c r="D82" s="30"/>
      <c r="E82" s="30"/>
      <c r="F82" s="30"/>
      <c r="G82" s="30"/>
      <c r="H82" s="30"/>
      <c r="I82" s="30"/>
      <c r="J82" s="30"/>
      <c r="K82" s="30"/>
      <c r="L82" s="30"/>
      <c r="M82" s="30"/>
      <c r="N82" s="30"/>
      <c r="O82" s="30"/>
      <c r="P82" s="30"/>
      <c r="Q82" s="30"/>
      <c r="R82" s="30"/>
      <c r="S82" s="30"/>
      <c r="T82" s="30"/>
      <c r="U82" s="30"/>
      <c r="V82" s="30"/>
      <c r="W82" s="30"/>
      <c r="X82" s="30"/>
    </row>
    <row r="83" spans="1:24" x14ac:dyDescent="0.2">
      <c r="A83" s="29"/>
      <c r="B83" s="29"/>
      <c r="C83" s="29"/>
      <c r="D83" s="30"/>
      <c r="E83" s="30"/>
      <c r="F83" s="30"/>
      <c r="G83" s="30"/>
      <c r="H83" s="30"/>
      <c r="I83" s="30"/>
      <c r="J83" s="30"/>
      <c r="K83" s="30"/>
      <c r="L83" s="30"/>
      <c r="M83" s="30"/>
      <c r="N83" s="30"/>
      <c r="O83" s="30"/>
      <c r="P83" s="30"/>
      <c r="Q83" s="30"/>
      <c r="R83" s="30"/>
      <c r="S83" s="30"/>
      <c r="T83" s="30"/>
      <c r="U83" s="30"/>
      <c r="V83" s="30"/>
      <c r="W83" s="30"/>
      <c r="X83" s="30"/>
    </row>
    <row r="84" spans="1:24" x14ac:dyDescent="0.2">
      <c r="A84" s="29"/>
      <c r="B84" s="29"/>
      <c r="C84" s="29"/>
      <c r="D84" s="30"/>
      <c r="E84" s="30"/>
      <c r="F84" s="30"/>
      <c r="G84" s="30"/>
      <c r="H84" s="30"/>
      <c r="I84" s="30"/>
      <c r="J84" s="30"/>
      <c r="K84" s="30"/>
      <c r="L84" s="30"/>
      <c r="M84" s="30"/>
      <c r="N84" s="30"/>
      <c r="O84" s="30"/>
      <c r="P84" s="30"/>
      <c r="Q84" s="30"/>
      <c r="R84" s="30"/>
      <c r="S84" s="30"/>
      <c r="T84" s="30"/>
      <c r="U84" s="30"/>
      <c r="V84" s="30"/>
      <c r="W84" s="30"/>
      <c r="X84" s="30"/>
    </row>
    <row r="85" spans="1:24" x14ac:dyDescent="0.2">
      <c r="A85" s="29"/>
      <c r="B85" s="29"/>
      <c r="C85" s="29"/>
      <c r="D85" s="30"/>
      <c r="E85" s="30"/>
      <c r="F85" s="30"/>
      <c r="G85" s="30"/>
      <c r="H85" s="30"/>
      <c r="I85" s="30"/>
      <c r="J85" s="30"/>
      <c r="K85" s="30"/>
      <c r="L85" s="30"/>
      <c r="M85" s="30"/>
      <c r="N85" s="30"/>
      <c r="O85" s="30"/>
      <c r="P85" s="30"/>
      <c r="Q85" s="30"/>
      <c r="R85" s="30"/>
      <c r="S85" s="30"/>
      <c r="T85" s="30"/>
      <c r="U85" s="30"/>
      <c r="V85" s="30"/>
      <c r="W85" s="30"/>
      <c r="X85" s="30"/>
    </row>
    <row r="86" spans="1:24" x14ac:dyDescent="0.2">
      <c r="A86" s="29"/>
      <c r="B86" s="29"/>
      <c r="C86" s="29"/>
      <c r="D86" s="30"/>
      <c r="E86" s="30"/>
      <c r="F86" s="30"/>
      <c r="G86" s="30"/>
      <c r="H86" s="30"/>
      <c r="I86" s="30"/>
      <c r="J86" s="30"/>
      <c r="K86" s="30"/>
      <c r="L86" s="30"/>
      <c r="M86" s="30"/>
      <c r="N86" s="30"/>
      <c r="O86" s="30"/>
      <c r="P86" s="30"/>
      <c r="Q86" s="30"/>
      <c r="R86" s="30"/>
      <c r="S86" s="30"/>
      <c r="T86" s="30"/>
      <c r="U86" s="30"/>
      <c r="V86" s="30"/>
      <c r="W86" s="30"/>
      <c r="X86" s="30"/>
    </row>
    <row r="87" spans="1:24" x14ac:dyDescent="0.2">
      <c r="A87" s="29"/>
      <c r="B87" s="29"/>
      <c r="C87" s="29"/>
      <c r="D87" s="30"/>
      <c r="E87" s="30"/>
      <c r="F87" s="30"/>
      <c r="G87" s="30"/>
      <c r="H87" s="30"/>
      <c r="I87" s="30"/>
      <c r="J87" s="30"/>
      <c r="K87" s="30"/>
      <c r="L87" s="30"/>
      <c r="M87" s="30"/>
      <c r="N87" s="30"/>
      <c r="O87" s="30"/>
      <c r="P87" s="30"/>
      <c r="Q87" s="30"/>
      <c r="R87" s="30"/>
      <c r="S87" s="30"/>
      <c r="T87" s="30"/>
      <c r="U87" s="30"/>
      <c r="V87" s="30"/>
      <c r="W87" s="30"/>
      <c r="X87" s="30"/>
    </row>
    <row r="88" spans="1:24" x14ac:dyDescent="0.2">
      <c r="A88" s="29"/>
      <c r="B88" s="29"/>
      <c r="C88" s="29"/>
      <c r="D88" s="30"/>
      <c r="E88" s="30"/>
      <c r="F88" s="30"/>
      <c r="G88" s="30"/>
      <c r="H88" s="30"/>
      <c r="I88" s="30"/>
      <c r="J88" s="30"/>
      <c r="K88" s="30"/>
      <c r="L88" s="30"/>
      <c r="M88" s="30"/>
      <c r="N88" s="30"/>
      <c r="O88" s="30"/>
      <c r="P88" s="30"/>
      <c r="Q88" s="30"/>
      <c r="R88" s="30"/>
      <c r="S88" s="30"/>
      <c r="T88" s="30"/>
      <c r="U88" s="30"/>
      <c r="V88" s="30"/>
      <c r="W88" s="30"/>
      <c r="X88" s="30"/>
    </row>
    <row r="89" spans="1:24" x14ac:dyDescent="0.2">
      <c r="A89" s="29"/>
      <c r="B89" s="29"/>
      <c r="C89" s="29"/>
      <c r="D89" s="30"/>
      <c r="E89" s="30"/>
      <c r="F89" s="30"/>
      <c r="G89" s="30"/>
      <c r="H89" s="30"/>
      <c r="I89" s="30"/>
      <c r="J89" s="30"/>
      <c r="K89" s="30"/>
      <c r="L89" s="30"/>
      <c r="M89" s="30"/>
      <c r="N89" s="30"/>
      <c r="O89" s="30"/>
      <c r="P89" s="30"/>
      <c r="Q89" s="30"/>
      <c r="R89" s="30"/>
      <c r="S89" s="30"/>
      <c r="T89" s="30"/>
      <c r="U89" s="30"/>
      <c r="V89" s="30"/>
      <c r="W89" s="30"/>
      <c r="X89" s="30"/>
    </row>
    <row r="90" spans="1:24" x14ac:dyDescent="0.2">
      <c r="A90" s="29"/>
      <c r="B90" s="29"/>
      <c r="C90" s="29"/>
      <c r="D90" s="30"/>
      <c r="E90" s="30"/>
      <c r="F90" s="30"/>
      <c r="G90" s="30"/>
      <c r="H90" s="30"/>
      <c r="I90" s="30"/>
      <c r="J90" s="30"/>
      <c r="K90" s="30"/>
      <c r="L90" s="30"/>
      <c r="M90" s="30"/>
      <c r="N90" s="30"/>
      <c r="O90" s="30"/>
      <c r="P90" s="30"/>
      <c r="Q90" s="30"/>
      <c r="R90" s="30"/>
      <c r="S90" s="30"/>
      <c r="T90" s="30"/>
      <c r="U90" s="30"/>
      <c r="V90" s="30"/>
      <c r="W90" s="30"/>
      <c r="X90" s="30"/>
    </row>
    <row r="91" spans="1:24" x14ac:dyDescent="0.2">
      <c r="A91" s="29"/>
      <c r="B91" s="29"/>
      <c r="C91" s="29"/>
      <c r="D91" s="30"/>
      <c r="E91" s="30"/>
      <c r="F91" s="30"/>
      <c r="G91" s="30"/>
      <c r="H91" s="30"/>
      <c r="I91" s="30"/>
      <c r="J91" s="30"/>
      <c r="K91" s="30"/>
      <c r="L91" s="30"/>
      <c r="M91" s="30"/>
      <c r="N91" s="30"/>
      <c r="O91" s="30"/>
      <c r="P91" s="30"/>
      <c r="Q91" s="30"/>
      <c r="R91" s="30"/>
      <c r="S91" s="30"/>
      <c r="T91" s="30"/>
      <c r="U91" s="30"/>
      <c r="V91" s="30"/>
      <c r="W91" s="30"/>
      <c r="X91" s="30"/>
    </row>
    <row r="92" spans="1:24" x14ac:dyDescent="0.2">
      <c r="A92" s="29"/>
      <c r="B92" s="29"/>
      <c r="C92" s="29"/>
      <c r="D92" s="30"/>
      <c r="E92" s="30"/>
      <c r="F92" s="30"/>
      <c r="G92" s="30"/>
      <c r="H92" s="30"/>
      <c r="I92" s="30"/>
      <c r="J92" s="30"/>
      <c r="K92" s="30"/>
      <c r="L92" s="30"/>
      <c r="M92" s="30"/>
      <c r="N92" s="30"/>
      <c r="O92" s="30"/>
      <c r="P92" s="30"/>
      <c r="Q92" s="30"/>
      <c r="R92" s="30"/>
      <c r="S92" s="30"/>
      <c r="T92" s="30"/>
      <c r="U92" s="30"/>
      <c r="V92" s="30"/>
      <c r="W92" s="30"/>
      <c r="X92" s="30"/>
    </row>
  </sheetData>
  <conditionalFormatting sqref="D6:J26">
    <cfRule type="colorScale" priority="1">
      <colorScale>
        <cfvo type="num" val="0"/>
        <cfvo type="num" val="1.5"/>
        <cfvo type="num" val="3"/>
        <color rgb="FFFFFFFF"/>
        <color rgb="FFFBD9C3"/>
        <color rgb="FFD04A02"/>
      </colorScale>
    </cfRule>
  </conditionalFormatting>
  <dataValidations count="3">
    <dataValidation type="whole" allowBlank="1" sqref="D43:X92" xr:uid="{E5DC3514-4697-4C76-B345-B0EF3135285C}">
      <formula1>0</formula1>
      <formula2>3</formula2>
    </dataValidation>
    <dataValidation type="list" allowBlank="1" sqref="C43:C92" xr:uid="{3803EB23-6BAA-4D5B-8064-6C0A32DCB5DB}">
      <formula1>"SCM,Finance,Technical,PM,Engagement leader,Other"</formula1>
      <formula2>0</formula2>
    </dataValidation>
    <dataValidation type="list" allowBlank="1" sqref="B43:B92" xr:uid="{9E6E689E-1172-4C86-9D2D-E491D32E2C0D}">
      <formula1>"D,SM,M,SA,A"</formula1>
      <formula2>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4"/>
  <sheetViews>
    <sheetView showGridLines="0" zoomScale="120" zoomScaleNormal="120" workbookViewId="0">
      <pane xSplit="3" ySplit="4" topLeftCell="D5" activePane="bottomRight" state="frozen"/>
      <selection pane="topRight" activeCell="D1" sqref="D1"/>
      <selection pane="bottomLeft" activeCell="A5" sqref="A5"/>
      <selection pane="bottomRight" activeCell="B12" sqref="B12"/>
    </sheetView>
  </sheetViews>
  <sheetFormatPr baseColWidth="10" defaultColWidth="8.6640625" defaultRowHeight="15" x14ac:dyDescent="0.2"/>
  <cols>
    <col min="1" max="1" width="6" customWidth="1"/>
    <col min="2" max="2" width="24" customWidth="1"/>
    <col min="3" max="3" width="70" customWidth="1"/>
    <col min="4" max="4" width="42" customWidth="1"/>
    <col min="5" max="5" width="36" customWidth="1"/>
    <col min="6" max="6" width="38" customWidth="1"/>
    <col min="7" max="7" width="26" customWidth="1"/>
    <col min="8" max="8" width="14" customWidth="1"/>
    <col min="9" max="9" width="40" customWidth="1"/>
    <col min="10" max="10" width="12" customWidth="1"/>
  </cols>
  <sheetData>
    <row r="1" spans="1:10" ht="18" x14ac:dyDescent="0.2">
      <c r="A1" s="4" t="s">
        <v>30</v>
      </c>
    </row>
    <row r="2" spans="1:10" x14ac:dyDescent="0.2">
      <c r="A2" s="5" t="s">
        <v>31</v>
      </c>
    </row>
    <row r="4" spans="1:10" ht="42" customHeight="1" x14ac:dyDescent="0.2">
      <c r="A4" s="2" t="s">
        <v>8</v>
      </c>
      <c r="B4" s="2" t="s">
        <v>32</v>
      </c>
      <c r="C4" s="2" t="s">
        <v>9</v>
      </c>
      <c r="D4" s="2" t="s">
        <v>10</v>
      </c>
      <c r="E4" s="2" t="s">
        <v>11</v>
      </c>
      <c r="F4" s="2" t="s">
        <v>33</v>
      </c>
      <c r="G4" s="2" t="s">
        <v>34</v>
      </c>
      <c r="H4" s="2" t="s">
        <v>35</v>
      </c>
      <c r="I4" s="2" t="s">
        <v>36</v>
      </c>
      <c r="J4" s="2" t="s">
        <v>37</v>
      </c>
    </row>
    <row r="5" spans="1:10" ht="42" x14ac:dyDescent="0.2">
      <c r="A5" s="1" t="s">
        <v>38</v>
      </c>
      <c r="B5" s="1" t="s">
        <v>39</v>
      </c>
      <c r="C5" s="1" t="s">
        <v>40</v>
      </c>
      <c r="D5" s="1" t="s">
        <v>41</v>
      </c>
      <c r="E5" s="1" t="s">
        <v>4</v>
      </c>
      <c r="F5" s="1" t="s">
        <v>42</v>
      </c>
      <c r="G5" s="1" t="s">
        <v>43</v>
      </c>
      <c r="H5" s="1" t="s">
        <v>29</v>
      </c>
      <c r="I5" s="1" t="s">
        <v>44</v>
      </c>
      <c r="J5" s="1" t="s">
        <v>0</v>
      </c>
    </row>
    <row r="6" spans="1:10" ht="28" x14ac:dyDescent="0.2">
      <c r="A6" s="1" t="s">
        <v>45</v>
      </c>
      <c r="B6" s="1" t="s">
        <v>39</v>
      </c>
      <c r="C6" s="1" t="s">
        <v>46</v>
      </c>
      <c r="D6" s="1" t="s">
        <v>47</v>
      </c>
      <c r="E6" s="1" t="s">
        <v>4</v>
      </c>
      <c r="F6" s="1" t="s">
        <v>48</v>
      </c>
      <c r="G6" s="1" t="s">
        <v>49</v>
      </c>
      <c r="H6" s="1" t="s">
        <v>29</v>
      </c>
      <c r="I6" s="1" t="s">
        <v>44</v>
      </c>
      <c r="J6" s="1" t="s">
        <v>0</v>
      </c>
    </row>
    <row r="7" spans="1:10" x14ac:dyDescent="0.2">
      <c r="A7" s="1" t="s">
        <v>50</v>
      </c>
      <c r="B7" s="1" t="s">
        <v>39</v>
      </c>
      <c r="C7" s="1" t="s">
        <v>51</v>
      </c>
      <c r="D7" s="1" t="s">
        <v>52</v>
      </c>
      <c r="E7" s="1" t="s">
        <v>4</v>
      </c>
      <c r="F7" s="1" t="s">
        <v>48</v>
      </c>
      <c r="G7" s="1" t="s">
        <v>43</v>
      </c>
      <c r="H7" s="1" t="s">
        <v>29</v>
      </c>
      <c r="I7" s="1" t="s">
        <v>44</v>
      </c>
      <c r="J7" s="1" t="s">
        <v>0</v>
      </c>
    </row>
    <row r="8" spans="1:10" x14ac:dyDescent="0.2">
      <c r="A8" s="1" t="s">
        <v>53</v>
      </c>
      <c r="B8" s="1" t="s">
        <v>39</v>
      </c>
      <c r="C8" s="1" t="s">
        <v>54</v>
      </c>
      <c r="D8" s="1" t="s">
        <v>55</v>
      </c>
      <c r="E8" s="1" t="s">
        <v>56</v>
      </c>
      <c r="F8" s="1" t="s">
        <v>57</v>
      </c>
      <c r="G8" s="1" t="s">
        <v>43</v>
      </c>
      <c r="H8" s="1" t="s">
        <v>29</v>
      </c>
      <c r="I8" s="1" t="s">
        <v>58</v>
      </c>
      <c r="J8" s="1" t="s">
        <v>0</v>
      </c>
    </row>
    <row r="9" spans="1:10" ht="42" x14ac:dyDescent="0.2">
      <c r="A9" s="1" t="s">
        <v>59</v>
      </c>
      <c r="B9" s="1" t="s">
        <v>39</v>
      </c>
      <c r="C9" s="1" t="s">
        <v>60</v>
      </c>
      <c r="D9" s="1" t="s">
        <v>61</v>
      </c>
      <c r="E9" s="1" t="s">
        <v>62</v>
      </c>
      <c r="F9" s="1" t="s">
        <v>48</v>
      </c>
      <c r="G9" s="1" t="s">
        <v>43</v>
      </c>
      <c r="H9" s="1" t="s">
        <v>29</v>
      </c>
      <c r="I9" s="1" t="s">
        <v>63</v>
      </c>
      <c r="J9" s="1" t="s">
        <v>0</v>
      </c>
    </row>
    <row r="10" spans="1:10" ht="42" x14ac:dyDescent="0.2">
      <c r="A10" s="8" t="s">
        <v>13</v>
      </c>
      <c r="B10" s="8" t="s">
        <v>64</v>
      </c>
      <c r="C10" s="8" t="s">
        <v>65</v>
      </c>
      <c r="D10" s="8" t="s">
        <v>66</v>
      </c>
      <c r="E10" s="8" t="s">
        <v>67</v>
      </c>
      <c r="F10" s="8" t="s">
        <v>68</v>
      </c>
      <c r="G10" s="8" t="s">
        <v>69</v>
      </c>
      <c r="H10" s="8" t="s">
        <v>70</v>
      </c>
      <c r="I10" s="8" t="s">
        <v>71</v>
      </c>
      <c r="J10" s="8" t="s">
        <v>72</v>
      </c>
    </row>
    <row r="11" spans="1:10" ht="28" x14ac:dyDescent="0.2">
      <c r="A11" s="1" t="s">
        <v>73</v>
      </c>
      <c r="B11" s="1" t="s">
        <v>64</v>
      </c>
      <c r="C11" s="1" t="s">
        <v>74</v>
      </c>
      <c r="D11" s="1" t="s">
        <v>75</v>
      </c>
      <c r="E11" s="1" t="s">
        <v>76</v>
      </c>
      <c r="F11" s="1" t="s">
        <v>48</v>
      </c>
      <c r="G11" s="1" t="s">
        <v>43</v>
      </c>
      <c r="H11" s="1" t="s">
        <v>29</v>
      </c>
      <c r="I11" s="1" t="s">
        <v>44</v>
      </c>
      <c r="J11" s="1" t="s">
        <v>77</v>
      </c>
    </row>
    <row r="12" spans="1:10" ht="42" x14ac:dyDescent="0.2">
      <c r="A12" s="1" t="s">
        <v>78</v>
      </c>
      <c r="B12" s="1" t="s">
        <v>64</v>
      </c>
      <c r="C12" s="1" t="s">
        <v>79</v>
      </c>
      <c r="D12" s="1" t="s">
        <v>80</v>
      </c>
      <c r="E12" s="1" t="s">
        <v>81</v>
      </c>
      <c r="F12" s="1" t="s">
        <v>82</v>
      </c>
      <c r="G12" s="1" t="s">
        <v>83</v>
      </c>
      <c r="H12" s="1" t="s">
        <v>70</v>
      </c>
      <c r="I12" s="1" t="s">
        <v>58</v>
      </c>
      <c r="J12" s="1" t="s">
        <v>77</v>
      </c>
    </row>
    <row r="13" spans="1:10" ht="28" x14ac:dyDescent="0.2">
      <c r="A13" s="8" t="s">
        <v>12</v>
      </c>
      <c r="B13" s="8" t="s">
        <v>64</v>
      </c>
      <c r="C13" s="8" t="s">
        <v>84</v>
      </c>
      <c r="D13" s="8" t="s">
        <v>85</v>
      </c>
      <c r="E13" s="8" t="s">
        <v>86</v>
      </c>
      <c r="F13" s="8" t="s">
        <v>87</v>
      </c>
      <c r="G13" s="8" t="s">
        <v>88</v>
      </c>
      <c r="H13" s="8" t="s">
        <v>89</v>
      </c>
      <c r="I13" s="8" t="s">
        <v>90</v>
      </c>
      <c r="J13" s="8" t="s">
        <v>72</v>
      </c>
    </row>
    <row r="14" spans="1:10" ht="28" x14ac:dyDescent="0.2">
      <c r="A14" s="8" t="s">
        <v>14</v>
      </c>
      <c r="B14" s="8" t="s">
        <v>91</v>
      </c>
      <c r="C14" s="8" t="s">
        <v>92</v>
      </c>
      <c r="D14" s="8" t="s">
        <v>93</v>
      </c>
      <c r="E14" s="8" t="s">
        <v>94</v>
      </c>
      <c r="F14" s="8" t="s">
        <v>95</v>
      </c>
      <c r="G14" s="8" t="s">
        <v>96</v>
      </c>
      <c r="H14" s="8" t="s">
        <v>97</v>
      </c>
      <c r="I14" s="8" t="s">
        <v>98</v>
      </c>
      <c r="J14" s="8" t="s">
        <v>72</v>
      </c>
    </row>
    <row r="15" spans="1:10" ht="28" x14ac:dyDescent="0.2">
      <c r="A15" s="8" t="s">
        <v>15</v>
      </c>
      <c r="B15" s="8" t="s">
        <v>91</v>
      </c>
      <c r="C15" s="8" t="s">
        <v>99</v>
      </c>
      <c r="D15" s="8" t="s">
        <v>100</v>
      </c>
      <c r="E15" s="8" t="s">
        <v>101</v>
      </c>
      <c r="F15" s="8" t="s">
        <v>102</v>
      </c>
      <c r="G15" s="8" t="s">
        <v>103</v>
      </c>
      <c r="H15" s="8" t="s">
        <v>70</v>
      </c>
      <c r="I15" s="8" t="s">
        <v>104</v>
      </c>
      <c r="J15" s="8" t="s">
        <v>72</v>
      </c>
    </row>
    <row r="16" spans="1:10" ht="42" x14ac:dyDescent="0.2">
      <c r="A16" s="8" t="s">
        <v>16</v>
      </c>
      <c r="B16" s="8" t="s">
        <v>91</v>
      </c>
      <c r="C16" s="8" t="s">
        <v>105</v>
      </c>
      <c r="D16" s="8" t="s">
        <v>106</v>
      </c>
      <c r="E16" s="8" t="s">
        <v>107</v>
      </c>
      <c r="F16" s="8" t="s">
        <v>57</v>
      </c>
      <c r="G16" s="8" t="s">
        <v>43</v>
      </c>
      <c r="H16" s="8" t="s">
        <v>70</v>
      </c>
      <c r="I16" s="8" t="s">
        <v>58</v>
      </c>
      <c r="J16" s="8" t="s">
        <v>72</v>
      </c>
    </row>
    <row r="17" spans="1:10" ht="42" x14ac:dyDescent="0.2">
      <c r="A17" s="8" t="s">
        <v>17</v>
      </c>
      <c r="B17" s="8" t="s">
        <v>91</v>
      </c>
      <c r="C17" s="8" t="s">
        <v>108</v>
      </c>
      <c r="D17" s="8" t="s">
        <v>109</v>
      </c>
      <c r="E17" s="8" t="s">
        <v>110</v>
      </c>
      <c r="F17" s="8" t="s">
        <v>111</v>
      </c>
      <c r="G17" s="8" t="s">
        <v>43</v>
      </c>
      <c r="H17" s="8" t="s">
        <v>89</v>
      </c>
      <c r="I17" s="8" t="s">
        <v>112</v>
      </c>
      <c r="J17" s="8" t="s">
        <v>72</v>
      </c>
    </row>
    <row r="18" spans="1:10" ht="28" x14ac:dyDescent="0.2">
      <c r="A18" s="1" t="s">
        <v>113</v>
      </c>
      <c r="B18" s="1" t="s">
        <v>91</v>
      </c>
      <c r="C18" s="1" t="s">
        <v>114</v>
      </c>
      <c r="D18" s="1" t="s">
        <v>115</v>
      </c>
      <c r="E18" s="1" t="s">
        <v>116</v>
      </c>
      <c r="F18" s="1" t="s">
        <v>117</v>
      </c>
      <c r="G18" s="1" t="s">
        <v>118</v>
      </c>
      <c r="H18" s="1" t="s">
        <v>70</v>
      </c>
      <c r="I18" s="1" t="s">
        <v>119</v>
      </c>
      <c r="J18" s="1" t="s">
        <v>120</v>
      </c>
    </row>
    <row r="19" spans="1:10" ht="28" x14ac:dyDescent="0.2">
      <c r="A19" s="1" t="s">
        <v>121</v>
      </c>
      <c r="B19" s="1" t="s">
        <v>122</v>
      </c>
      <c r="C19" s="1" t="s">
        <v>123</v>
      </c>
      <c r="D19" s="1" t="s">
        <v>124</v>
      </c>
      <c r="E19" s="1" t="s">
        <v>125</v>
      </c>
      <c r="F19" s="1" t="s">
        <v>126</v>
      </c>
      <c r="G19" s="1" t="s">
        <v>127</v>
      </c>
      <c r="H19" s="1" t="s">
        <v>97</v>
      </c>
      <c r="I19" s="1" t="s">
        <v>128</v>
      </c>
      <c r="J19" s="1" t="s">
        <v>77</v>
      </c>
    </row>
    <row r="20" spans="1:10" ht="42" x14ac:dyDescent="0.2">
      <c r="A20" s="8" t="s">
        <v>18</v>
      </c>
      <c r="B20" s="8" t="s">
        <v>122</v>
      </c>
      <c r="C20" s="8" t="s">
        <v>129</v>
      </c>
      <c r="D20" s="8" t="s">
        <v>130</v>
      </c>
      <c r="E20" s="8" t="s">
        <v>131</v>
      </c>
      <c r="F20" s="8" t="s">
        <v>87</v>
      </c>
      <c r="G20" s="8" t="s">
        <v>43</v>
      </c>
      <c r="H20" s="8" t="s">
        <v>89</v>
      </c>
      <c r="I20" s="8" t="s">
        <v>132</v>
      </c>
      <c r="J20" s="8" t="s">
        <v>72</v>
      </c>
    </row>
    <row r="21" spans="1:10" ht="42" x14ac:dyDescent="0.2">
      <c r="A21" s="1" t="s">
        <v>133</v>
      </c>
      <c r="B21" s="1" t="s">
        <v>122</v>
      </c>
      <c r="C21" s="1" t="s">
        <v>134</v>
      </c>
      <c r="D21" s="1" t="s">
        <v>135</v>
      </c>
      <c r="E21" s="1" t="s">
        <v>136</v>
      </c>
      <c r="F21" s="1" t="s">
        <v>137</v>
      </c>
      <c r="G21" s="1" t="s">
        <v>138</v>
      </c>
      <c r="H21" s="1" t="s">
        <v>70</v>
      </c>
      <c r="I21" s="1" t="s">
        <v>139</v>
      </c>
      <c r="J21" s="1" t="s">
        <v>77</v>
      </c>
    </row>
    <row r="22" spans="1:10" ht="28" x14ac:dyDescent="0.2">
      <c r="A22" s="8" t="s">
        <v>22</v>
      </c>
      <c r="B22" s="8" t="s">
        <v>122</v>
      </c>
      <c r="C22" s="8" t="s">
        <v>140</v>
      </c>
      <c r="D22" s="8" t="s">
        <v>141</v>
      </c>
      <c r="E22" s="8" t="s">
        <v>142</v>
      </c>
      <c r="F22" s="8" t="s">
        <v>143</v>
      </c>
      <c r="G22" s="8" t="s">
        <v>138</v>
      </c>
      <c r="H22" s="8" t="s">
        <v>70</v>
      </c>
      <c r="I22" s="8" t="s">
        <v>144</v>
      </c>
      <c r="J22" s="8" t="s">
        <v>77</v>
      </c>
    </row>
    <row r="23" spans="1:10" ht="28" x14ac:dyDescent="0.2">
      <c r="A23" s="1" t="s">
        <v>145</v>
      </c>
      <c r="B23" s="1" t="s">
        <v>122</v>
      </c>
      <c r="C23" s="1" t="s">
        <v>146</v>
      </c>
      <c r="D23" s="1" t="s">
        <v>147</v>
      </c>
      <c r="E23" s="1" t="s">
        <v>148</v>
      </c>
      <c r="F23" s="1" t="s">
        <v>149</v>
      </c>
      <c r="G23" s="1" t="s">
        <v>150</v>
      </c>
      <c r="H23" s="1" t="s">
        <v>70</v>
      </c>
      <c r="I23" s="1" t="s">
        <v>151</v>
      </c>
      <c r="J23" s="1" t="s">
        <v>120</v>
      </c>
    </row>
    <row r="24" spans="1:10" ht="28" x14ac:dyDescent="0.2">
      <c r="A24" s="1" t="s">
        <v>152</v>
      </c>
      <c r="B24" s="1" t="s">
        <v>122</v>
      </c>
      <c r="C24" s="1" t="s">
        <v>153</v>
      </c>
      <c r="D24" s="1" t="s">
        <v>154</v>
      </c>
      <c r="E24" s="1" t="s">
        <v>155</v>
      </c>
      <c r="F24" s="1" t="s">
        <v>48</v>
      </c>
      <c r="G24" s="1" t="s">
        <v>156</v>
      </c>
      <c r="H24" s="1" t="s">
        <v>70</v>
      </c>
      <c r="I24" s="1" t="s">
        <v>157</v>
      </c>
      <c r="J24" s="1" t="s">
        <v>77</v>
      </c>
    </row>
    <row r="25" spans="1:10" ht="28" x14ac:dyDescent="0.2">
      <c r="A25" s="8" t="s">
        <v>19</v>
      </c>
      <c r="B25" s="8" t="s">
        <v>158</v>
      </c>
      <c r="C25" s="8" t="s">
        <v>159</v>
      </c>
      <c r="D25" s="8" t="s">
        <v>160</v>
      </c>
      <c r="E25" s="8" t="s">
        <v>6</v>
      </c>
      <c r="F25" s="8" t="s">
        <v>161</v>
      </c>
      <c r="G25" s="8" t="s">
        <v>162</v>
      </c>
      <c r="H25" s="8" t="s">
        <v>70</v>
      </c>
      <c r="I25" s="8" t="s">
        <v>163</v>
      </c>
      <c r="J25" s="8" t="s">
        <v>72</v>
      </c>
    </row>
    <row r="26" spans="1:10" ht="42" x14ac:dyDescent="0.2">
      <c r="A26" s="8" t="s">
        <v>20</v>
      </c>
      <c r="B26" s="8" t="s">
        <v>158</v>
      </c>
      <c r="C26" s="8" t="s">
        <v>164</v>
      </c>
      <c r="D26" s="8" t="s">
        <v>165</v>
      </c>
      <c r="E26" s="8" t="s">
        <v>166</v>
      </c>
      <c r="F26" s="8" t="s">
        <v>87</v>
      </c>
      <c r="G26" s="8" t="s">
        <v>167</v>
      </c>
      <c r="H26" s="8" t="s">
        <v>97</v>
      </c>
      <c r="I26" s="8" t="s">
        <v>168</v>
      </c>
      <c r="J26" s="8" t="s">
        <v>72</v>
      </c>
    </row>
    <row r="27" spans="1:10" ht="28" x14ac:dyDescent="0.2">
      <c r="A27" s="1" t="s">
        <v>169</v>
      </c>
      <c r="B27" s="1" t="s">
        <v>158</v>
      </c>
      <c r="C27" s="1" t="s">
        <v>170</v>
      </c>
      <c r="D27" s="1" t="s">
        <v>171</v>
      </c>
      <c r="E27" s="1" t="s">
        <v>172</v>
      </c>
      <c r="F27" s="1" t="s">
        <v>87</v>
      </c>
      <c r="G27" s="1" t="s">
        <v>173</v>
      </c>
      <c r="H27" s="1" t="s">
        <v>70</v>
      </c>
      <c r="I27" s="1" t="s">
        <v>174</v>
      </c>
      <c r="J27" s="1" t="s">
        <v>77</v>
      </c>
    </row>
    <row r="28" spans="1:10" ht="28" x14ac:dyDescent="0.2">
      <c r="A28" s="1" t="s">
        <v>175</v>
      </c>
      <c r="B28" s="1" t="s">
        <v>158</v>
      </c>
      <c r="C28" s="1" t="s">
        <v>176</v>
      </c>
      <c r="D28" s="1" t="s">
        <v>177</v>
      </c>
      <c r="E28" s="1" t="s">
        <v>178</v>
      </c>
      <c r="F28" s="1" t="s">
        <v>111</v>
      </c>
      <c r="G28" s="1" t="s">
        <v>179</v>
      </c>
      <c r="H28" s="1" t="s">
        <v>97</v>
      </c>
      <c r="I28" s="1" t="s">
        <v>180</v>
      </c>
      <c r="J28" s="1" t="s">
        <v>77</v>
      </c>
    </row>
    <row r="29" spans="1:10" ht="28" x14ac:dyDescent="0.2">
      <c r="A29" s="1" t="s">
        <v>181</v>
      </c>
      <c r="B29" s="1" t="s">
        <v>158</v>
      </c>
      <c r="C29" s="1" t="s">
        <v>182</v>
      </c>
      <c r="D29" s="1" t="s">
        <v>183</v>
      </c>
      <c r="E29" s="1" t="s">
        <v>184</v>
      </c>
      <c r="F29" s="1" t="s">
        <v>149</v>
      </c>
      <c r="G29" s="1" t="s">
        <v>185</v>
      </c>
      <c r="H29" s="1" t="s">
        <v>97</v>
      </c>
      <c r="I29" s="1" t="s">
        <v>186</v>
      </c>
      <c r="J29" s="1" t="s">
        <v>120</v>
      </c>
    </row>
    <row r="30" spans="1:10" ht="28" x14ac:dyDescent="0.2">
      <c r="A30" s="1" t="s">
        <v>187</v>
      </c>
      <c r="B30" s="1" t="s">
        <v>158</v>
      </c>
      <c r="C30" s="1" t="s">
        <v>188</v>
      </c>
      <c r="D30" s="1" t="s">
        <v>189</v>
      </c>
      <c r="E30" s="1" t="s">
        <v>190</v>
      </c>
      <c r="F30" s="1" t="s">
        <v>87</v>
      </c>
      <c r="G30" s="1" t="s">
        <v>191</v>
      </c>
      <c r="H30" s="1" t="s">
        <v>89</v>
      </c>
      <c r="I30" s="1" t="s">
        <v>192</v>
      </c>
      <c r="J30" s="1" t="s">
        <v>77</v>
      </c>
    </row>
    <row r="31" spans="1:10" ht="28" x14ac:dyDescent="0.2">
      <c r="A31" s="8" t="s">
        <v>21</v>
      </c>
      <c r="B31" s="8" t="s">
        <v>193</v>
      </c>
      <c r="C31" s="8" t="s">
        <v>194</v>
      </c>
      <c r="D31" s="8" t="s">
        <v>195</v>
      </c>
      <c r="E31" s="8" t="s">
        <v>196</v>
      </c>
      <c r="F31" s="8" t="s">
        <v>48</v>
      </c>
      <c r="G31" s="8" t="s">
        <v>197</v>
      </c>
      <c r="H31" s="8" t="s">
        <v>97</v>
      </c>
      <c r="I31" s="8" t="s">
        <v>157</v>
      </c>
      <c r="J31" s="8" t="s">
        <v>72</v>
      </c>
    </row>
    <row r="32" spans="1:10" ht="28" x14ac:dyDescent="0.2">
      <c r="A32" s="1" t="s">
        <v>198</v>
      </c>
      <c r="B32" s="1" t="s">
        <v>193</v>
      </c>
      <c r="C32" s="1" t="s">
        <v>199</v>
      </c>
      <c r="D32" s="1" t="s">
        <v>200</v>
      </c>
      <c r="E32" s="1" t="s">
        <v>201</v>
      </c>
      <c r="F32" s="1" t="s">
        <v>48</v>
      </c>
      <c r="G32" s="1" t="s">
        <v>156</v>
      </c>
      <c r="H32" s="1" t="s">
        <v>97</v>
      </c>
      <c r="I32" s="1" t="s">
        <v>202</v>
      </c>
      <c r="J32" s="1" t="s">
        <v>77</v>
      </c>
    </row>
    <row r="33" spans="1:10" ht="42" x14ac:dyDescent="0.2">
      <c r="A33" s="8" t="s">
        <v>23</v>
      </c>
      <c r="B33" s="8" t="s">
        <v>193</v>
      </c>
      <c r="C33" s="8" t="s">
        <v>203</v>
      </c>
      <c r="D33" s="8" t="s">
        <v>204</v>
      </c>
      <c r="E33" s="8" t="s">
        <v>205</v>
      </c>
      <c r="F33" s="8" t="s">
        <v>48</v>
      </c>
      <c r="G33" s="8" t="s">
        <v>206</v>
      </c>
      <c r="H33" s="8" t="s">
        <v>97</v>
      </c>
      <c r="I33" s="8" t="s">
        <v>207</v>
      </c>
      <c r="J33" s="8" t="s">
        <v>77</v>
      </c>
    </row>
    <row r="34" spans="1:10" ht="42" x14ac:dyDescent="0.2">
      <c r="A34" s="8" t="s">
        <v>24</v>
      </c>
      <c r="B34" s="8" t="s">
        <v>208</v>
      </c>
      <c r="C34" s="8" t="s">
        <v>209</v>
      </c>
      <c r="D34" s="8" t="s">
        <v>210</v>
      </c>
      <c r="E34" s="8" t="s">
        <v>211</v>
      </c>
      <c r="F34" s="8" t="s">
        <v>87</v>
      </c>
      <c r="G34" s="8" t="s">
        <v>43</v>
      </c>
      <c r="H34" s="8" t="s">
        <v>89</v>
      </c>
      <c r="I34" s="8" t="s">
        <v>212</v>
      </c>
      <c r="J34" s="8" t="s">
        <v>72</v>
      </c>
    </row>
    <row r="35" spans="1:10" ht="42" x14ac:dyDescent="0.2">
      <c r="A35" s="8" t="s">
        <v>25</v>
      </c>
      <c r="B35" s="8" t="s">
        <v>208</v>
      </c>
      <c r="C35" s="8" t="s">
        <v>213</v>
      </c>
      <c r="D35" s="8" t="s">
        <v>214</v>
      </c>
      <c r="E35" s="8" t="s">
        <v>215</v>
      </c>
      <c r="F35" s="8" t="s">
        <v>216</v>
      </c>
      <c r="G35" s="8" t="s">
        <v>217</v>
      </c>
      <c r="H35" s="8" t="s">
        <v>70</v>
      </c>
      <c r="I35" s="8" t="s">
        <v>218</v>
      </c>
      <c r="J35" s="8" t="s">
        <v>72</v>
      </c>
    </row>
    <row r="36" spans="1:10" ht="42" x14ac:dyDescent="0.2">
      <c r="A36" s="1" t="s">
        <v>219</v>
      </c>
      <c r="B36" s="1" t="s">
        <v>208</v>
      </c>
      <c r="C36" s="1" t="s">
        <v>220</v>
      </c>
      <c r="D36" s="1" t="s">
        <v>221</v>
      </c>
      <c r="E36" s="1" t="s">
        <v>222</v>
      </c>
      <c r="F36" s="1" t="s">
        <v>87</v>
      </c>
      <c r="G36" s="1" t="s">
        <v>223</v>
      </c>
      <c r="H36" s="1" t="s">
        <v>89</v>
      </c>
      <c r="I36" s="1" t="s">
        <v>224</v>
      </c>
      <c r="J36" s="1" t="s">
        <v>77</v>
      </c>
    </row>
    <row r="37" spans="1:10" ht="28" x14ac:dyDescent="0.2">
      <c r="A37" s="8" t="s">
        <v>26</v>
      </c>
      <c r="B37" s="8" t="s">
        <v>208</v>
      </c>
      <c r="C37" s="8" t="s">
        <v>225</v>
      </c>
      <c r="D37" s="8" t="s">
        <v>226</v>
      </c>
      <c r="E37" s="8" t="s">
        <v>5</v>
      </c>
      <c r="F37" s="8" t="s">
        <v>87</v>
      </c>
      <c r="G37" s="8" t="s">
        <v>227</v>
      </c>
      <c r="H37" s="8" t="s">
        <v>70</v>
      </c>
      <c r="I37" s="8" t="s">
        <v>228</v>
      </c>
      <c r="J37" s="8" t="s">
        <v>77</v>
      </c>
    </row>
    <row r="38" spans="1:10" ht="42" x14ac:dyDescent="0.2">
      <c r="A38" s="1" t="s">
        <v>229</v>
      </c>
      <c r="B38" s="1" t="s">
        <v>208</v>
      </c>
      <c r="C38" s="1" t="s">
        <v>230</v>
      </c>
      <c r="D38" s="1" t="s">
        <v>231</v>
      </c>
      <c r="E38" s="1" t="s">
        <v>232</v>
      </c>
      <c r="F38" s="1" t="s">
        <v>233</v>
      </c>
      <c r="G38" s="1" t="s">
        <v>234</v>
      </c>
      <c r="H38" s="1" t="s">
        <v>70</v>
      </c>
      <c r="I38" s="1" t="s">
        <v>235</v>
      </c>
      <c r="J38" s="1" t="s">
        <v>77</v>
      </c>
    </row>
    <row r="39" spans="1:10" ht="28" x14ac:dyDescent="0.2">
      <c r="A39" s="8" t="s">
        <v>27</v>
      </c>
      <c r="B39" s="8" t="s">
        <v>236</v>
      </c>
      <c r="C39" s="8" t="s">
        <v>237</v>
      </c>
      <c r="D39" s="8" t="s">
        <v>238</v>
      </c>
      <c r="E39" s="8" t="s">
        <v>239</v>
      </c>
      <c r="F39" s="8" t="s">
        <v>233</v>
      </c>
      <c r="G39" s="8" t="s">
        <v>43</v>
      </c>
      <c r="H39" s="8" t="s">
        <v>97</v>
      </c>
      <c r="I39" s="8" t="s">
        <v>240</v>
      </c>
      <c r="J39" s="8" t="s">
        <v>72</v>
      </c>
    </row>
    <row r="40" spans="1:10" ht="28" x14ac:dyDescent="0.2">
      <c r="A40" s="1" t="s">
        <v>241</v>
      </c>
      <c r="B40" s="1" t="s">
        <v>236</v>
      </c>
      <c r="C40" s="1" t="s">
        <v>242</v>
      </c>
      <c r="D40" s="1" t="s">
        <v>243</v>
      </c>
      <c r="E40" s="1" t="s">
        <v>244</v>
      </c>
      <c r="F40" s="1" t="s">
        <v>245</v>
      </c>
      <c r="G40" s="1" t="s">
        <v>43</v>
      </c>
      <c r="H40" s="1" t="s">
        <v>70</v>
      </c>
      <c r="I40" s="1" t="s">
        <v>240</v>
      </c>
      <c r="J40" s="1" t="s">
        <v>77</v>
      </c>
    </row>
    <row r="41" spans="1:10" ht="28" x14ac:dyDescent="0.2">
      <c r="A41" s="1" t="s">
        <v>246</v>
      </c>
      <c r="B41" s="1" t="s">
        <v>247</v>
      </c>
      <c r="C41" s="1" t="s">
        <v>248</v>
      </c>
      <c r="D41" s="1"/>
      <c r="E41" s="1" t="s">
        <v>249</v>
      </c>
      <c r="F41" s="1" t="s">
        <v>250</v>
      </c>
      <c r="G41" s="1" t="s">
        <v>251</v>
      </c>
      <c r="H41" s="1" t="s">
        <v>70</v>
      </c>
      <c r="I41" s="1" t="s">
        <v>119</v>
      </c>
      <c r="J41" s="1" t="s">
        <v>252</v>
      </c>
    </row>
    <row r="42" spans="1:10" x14ac:dyDescent="0.2">
      <c r="A42" s="8" t="s">
        <v>28</v>
      </c>
      <c r="B42" s="8" t="s">
        <v>247</v>
      </c>
      <c r="C42" s="8" t="s">
        <v>253</v>
      </c>
      <c r="D42" s="8"/>
      <c r="E42" s="8" t="s">
        <v>254</v>
      </c>
      <c r="F42" s="8" t="s">
        <v>87</v>
      </c>
      <c r="G42" s="8" t="s">
        <v>43</v>
      </c>
      <c r="H42" s="8" t="s">
        <v>29</v>
      </c>
      <c r="I42" s="8" t="s">
        <v>255</v>
      </c>
      <c r="J42" s="8" t="s">
        <v>252</v>
      </c>
    </row>
    <row r="43" spans="1:10" ht="28" x14ac:dyDescent="0.2">
      <c r="A43" s="1" t="s">
        <v>256</v>
      </c>
      <c r="B43" s="1" t="s">
        <v>247</v>
      </c>
      <c r="C43" s="1" t="s">
        <v>257</v>
      </c>
      <c r="D43" s="1"/>
      <c r="E43" s="1" t="s">
        <v>258</v>
      </c>
      <c r="F43" s="1" t="s">
        <v>102</v>
      </c>
      <c r="G43" s="1" t="s">
        <v>43</v>
      </c>
      <c r="H43" s="1" t="s">
        <v>29</v>
      </c>
      <c r="I43" s="1" t="s">
        <v>259</v>
      </c>
      <c r="J43" s="1" t="s">
        <v>252</v>
      </c>
    </row>
    <row r="44" spans="1:10" ht="42" x14ac:dyDescent="0.2">
      <c r="A44" s="1" t="s">
        <v>260</v>
      </c>
      <c r="B44" s="1" t="s">
        <v>247</v>
      </c>
      <c r="C44" s="1" t="s">
        <v>261</v>
      </c>
      <c r="D44" s="1" t="s">
        <v>262</v>
      </c>
      <c r="E44" s="1" t="s">
        <v>263</v>
      </c>
      <c r="F44" s="1" t="s">
        <v>264</v>
      </c>
      <c r="G44" s="1" t="s">
        <v>43</v>
      </c>
      <c r="H44" s="1" t="s">
        <v>29</v>
      </c>
      <c r="I44" s="1" t="s">
        <v>119</v>
      </c>
      <c r="J44" s="1" t="s">
        <v>120</v>
      </c>
    </row>
  </sheetData>
  <autoFilter ref="A4:J44" xr:uid="{00000000-0009-0000-0000-000003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Questions &amp; Outputs_Original</vt:lpstr>
      <vt:lpstr>Questions &amp; Outputs</vt:lpstr>
      <vt:lpstr>By Role &amp; Impact</vt:lpstr>
      <vt:lpstr>Agent Heat Map Reference</vt:lpstr>
      <vt:lpstr>Total Question Set (MISC)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Mallory Logan (US)</cp:lastModifiedBy>
  <cp:revision>0</cp:revision>
  <dcterms:created xsi:type="dcterms:W3CDTF">2026-10-20T19:12:03Z</dcterms:created>
  <dcterms:modified xsi:type="dcterms:W3CDTF">2026-10-21T20:11:42Z</dcterms:modified>
  <dc:language>en-US</dc:language>
</cp:coreProperties>
</file>